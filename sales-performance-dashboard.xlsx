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vishal\Documents\"/>
    </mc:Choice>
  </mc:AlternateContent>
  <xr:revisionPtr revIDLastSave="0" documentId="8_{3EF6720F-29CC-49E2-8B59-87C1D8084B87}" xr6:coauthVersionLast="47" xr6:coauthVersionMax="47" xr10:uidLastSave="{00000000-0000-0000-0000-000000000000}"/>
  <bookViews>
    <workbookView xWindow="-108" yWindow="-108" windowWidth="23256" windowHeight="13176" firstSheet="2" activeTab="3" xr2:uid="{0FA611C0-EE86-43AC-AE0E-0232F8EA0D52}"/>
  </bookViews>
  <sheets>
    <sheet name="FILTER" sheetId="5" r:id="rId1"/>
    <sheet name="LOOKUP" sheetId="8" state="hidden" r:id="rId2"/>
    <sheet name="Raw_data" sheetId="4" r:id="rId3"/>
    <sheet name="Formulas" sheetId="13" r:id="rId4"/>
    <sheet name="Analysis" sheetId="12" r:id="rId5"/>
    <sheet name="Dashboard" sheetId="10" r:id="rId6"/>
  </sheets>
  <definedNames>
    <definedName name="_xlnm._FilterDatabase" localSheetId="2" hidden="1">Raw_data!$A$1:$J$60</definedName>
    <definedName name="Slicer_Category">#N/A</definedName>
    <definedName name="Slicer_Segment">#N/A</definedName>
    <definedName name="Slicer_Ship_Mode">#N/A</definedName>
    <definedName name="Slicer_State">#N/A</definedName>
  </definedNames>
  <calcPr calcId="191029"/>
  <pivotCaches>
    <pivotCache cacheId="2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13" l="1"/>
  <c r="S3" i="13"/>
  <c r="R4" i="13"/>
  <c r="R3" i="13"/>
  <c r="R2" i="13"/>
  <c r="S2" i="13"/>
  <c r="N5" i="13" a="1"/>
  <c r="N5" i="13" s="1"/>
  <c r="M2" i="13"/>
  <c r="O3" i="10" l="1"/>
  <c r="M3" i="10"/>
  <c r="K3" i="4"/>
  <c r="L3" i="4"/>
  <c r="K4" i="4"/>
  <c r="L4" i="4"/>
  <c r="K5" i="4"/>
  <c r="L5" i="4"/>
  <c r="K6" i="4"/>
  <c r="L6" i="4"/>
  <c r="M6" i="4"/>
  <c r="K7" i="4"/>
  <c r="L7" i="4"/>
  <c r="M7" i="4" s="1"/>
  <c r="K8" i="4"/>
  <c r="L8" i="4"/>
  <c r="K9" i="4"/>
  <c r="L9" i="4"/>
  <c r="K10" i="4"/>
  <c r="L10" i="4"/>
  <c r="K11" i="4"/>
  <c r="L11" i="4"/>
  <c r="K12" i="4"/>
  <c r="L12" i="4"/>
  <c r="K13" i="4"/>
  <c r="L13" i="4"/>
  <c r="M13" i="4" s="1"/>
  <c r="K14" i="4"/>
  <c r="L14" i="4"/>
  <c r="K15" i="4"/>
  <c r="L15" i="4"/>
  <c r="K16" i="4"/>
  <c r="L16" i="4"/>
  <c r="K17" i="4"/>
  <c r="L17" i="4"/>
  <c r="K18" i="4"/>
  <c r="L18" i="4"/>
  <c r="K19" i="4"/>
  <c r="L19" i="4"/>
  <c r="K20" i="4"/>
  <c r="L20" i="4"/>
  <c r="M20" i="4" s="1"/>
  <c r="K21" i="4"/>
  <c r="L21" i="4"/>
  <c r="K22" i="4"/>
  <c r="L22" i="4"/>
  <c r="M22" i="4" s="1"/>
  <c r="K23" i="4"/>
  <c r="L23" i="4"/>
  <c r="K24" i="4"/>
  <c r="L24" i="4"/>
  <c r="K25" i="4"/>
  <c r="L25" i="4"/>
  <c r="K26" i="4"/>
  <c r="L26" i="4"/>
  <c r="K27" i="4"/>
  <c r="L27" i="4"/>
  <c r="K28" i="4"/>
  <c r="L28" i="4"/>
  <c r="M28" i="4" s="1"/>
  <c r="K29" i="4"/>
  <c r="L29" i="4"/>
  <c r="K30" i="4"/>
  <c r="L30" i="4"/>
  <c r="K31" i="4"/>
  <c r="L31" i="4"/>
  <c r="K32" i="4"/>
  <c r="L32" i="4"/>
  <c r="K33" i="4"/>
  <c r="L33" i="4"/>
  <c r="K34" i="4"/>
  <c r="L34" i="4"/>
  <c r="K35" i="4"/>
  <c r="L35" i="4"/>
  <c r="K36" i="4"/>
  <c r="L36" i="4"/>
  <c r="K37" i="4"/>
  <c r="L37" i="4"/>
  <c r="M37" i="4" s="1"/>
  <c r="K38" i="4"/>
  <c r="L38" i="4"/>
  <c r="K39" i="4"/>
  <c r="L39" i="4"/>
  <c r="M39" i="4"/>
  <c r="K40" i="4"/>
  <c r="L40" i="4"/>
  <c r="K41" i="4"/>
  <c r="L41" i="4"/>
  <c r="K42" i="4"/>
  <c r="L42" i="4"/>
  <c r="K43" i="4"/>
  <c r="L43" i="4"/>
  <c r="K44" i="4"/>
  <c r="L44" i="4"/>
  <c r="K45" i="4"/>
  <c r="L45" i="4"/>
  <c r="M45" i="4" s="1"/>
  <c r="K46" i="4"/>
  <c r="L46" i="4"/>
  <c r="K47" i="4"/>
  <c r="L47" i="4"/>
  <c r="M47" i="4" s="1"/>
  <c r="K48" i="4"/>
  <c r="L48" i="4"/>
  <c r="K49" i="4"/>
  <c r="L49" i="4"/>
  <c r="K50" i="4"/>
  <c r="L50" i="4"/>
  <c r="K51" i="4"/>
  <c r="L51" i="4"/>
  <c r="K52" i="4"/>
  <c r="L52" i="4"/>
  <c r="K53" i="4"/>
  <c r="L53" i="4"/>
  <c r="K54" i="4"/>
  <c r="L54" i="4"/>
  <c r="M54" i="4" s="1"/>
  <c r="K55" i="4"/>
  <c r="L55" i="4"/>
  <c r="K56" i="4"/>
  <c r="L56" i="4"/>
  <c r="K57" i="4"/>
  <c r="L57" i="4"/>
  <c r="K58" i="4"/>
  <c r="L58" i="4"/>
  <c r="K59" i="4"/>
  <c r="L59" i="4"/>
  <c r="K60" i="4"/>
  <c r="L60" i="4"/>
  <c r="M60" i="4" s="1"/>
  <c r="L2" i="4"/>
  <c r="K2" i="4"/>
  <c r="M19" i="8" a="1"/>
  <c r="M19" i="8" s="1"/>
  <c r="M20" i="8" a="1"/>
  <c r="M20" i="8" s="1"/>
  <c r="M21" i="8" a="1"/>
  <c r="M21" i="8" s="1"/>
  <c r="M22" i="8" a="1"/>
  <c r="M22" i="8" s="1"/>
  <c r="M23" i="8" a="1"/>
  <c r="M23" i="8" s="1"/>
  <c r="M24" i="8" a="1"/>
  <c r="M24" i="8" s="1"/>
  <c r="M25" i="8" a="1"/>
  <c r="M25" i="8" s="1"/>
  <c r="M26" i="8" a="1"/>
  <c r="M26" i="8" s="1"/>
  <c r="M27" i="8" a="1"/>
  <c r="M27" i="8" s="1"/>
  <c r="M18" i="8" a="1"/>
  <c r="M18" i="8" s="1"/>
  <c r="S7" i="8"/>
  <c r="S8" i="8"/>
  <c r="S9" i="8"/>
  <c r="S6" i="8"/>
  <c r="O7" i="8"/>
  <c r="O8" i="8"/>
  <c r="O9" i="8"/>
  <c r="O10" i="8"/>
  <c r="O11" i="8"/>
  <c r="O12" i="8"/>
  <c r="O13" i="8"/>
  <c r="O14" i="8"/>
  <c r="O15" i="8"/>
  <c r="O6" i="8"/>
  <c r="N7" i="8"/>
  <c r="N8" i="8"/>
  <c r="N9" i="8"/>
  <c r="N10" i="8"/>
  <c r="N11" i="8"/>
  <c r="N12" i="8"/>
  <c r="N13" i="8"/>
  <c r="N14" i="8"/>
  <c r="N15" i="8"/>
  <c r="N6" i="8"/>
  <c r="M7" i="8"/>
  <c r="M8" i="8"/>
  <c r="M9" i="8"/>
  <c r="M10" i="8"/>
  <c r="M11" i="8"/>
  <c r="M12" i="8"/>
  <c r="M13" i="8"/>
  <c r="M14" i="8"/>
  <c r="M15" i="8"/>
  <c r="M6" i="8"/>
  <c r="M2" i="8"/>
  <c r="Q18" i="8"/>
  <c r="K2" i="5"/>
  <c r="O2" i="13" l="1" a="1"/>
  <c r="O2" i="13" s="1"/>
  <c r="P2" i="13" a="1"/>
  <c r="P2" i="13" s="1"/>
  <c r="I3" i="10"/>
  <c r="M8" i="4"/>
  <c r="K3" i="10"/>
  <c r="M35" i="4"/>
  <c r="M27" i="4"/>
  <c r="M34" i="4"/>
  <c r="M58" i="4"/>
  <c r="M18" i="4"/>
  <c r="M49" i="4"/>
  <c r="M4" i="4"/>
  <c r="M56" i="4"/>
  <c r="M53" i="4"/>
  <c r="M25" i="4"/>
  <c r="M9" i="4"/>
  <c r="M21" i="4"/>
  <c r="M12" i="4"/>
  <c r="M41" i="4"/>
  <c r="M55" i="4"/>
  <c r="M32" i="4"/>
  <c r="M44" i="4"/>
  <c r="M59" i="4"/>
  <c r="M48" i="4"/>
  <c r="M26" i="4"/>
  <c r="M19" i="4"/>
  <c r="M5" i="4"/>
  <c r="M10" i="4"/>
  <c r="M23" i="4"/>
  <c r="M31" i="4"/>
  <c r="M50" i="4"/>
  <c r="M57" i="4"/>
  <c r="M33" i="4"/>
  <c r="M24" i="4"/>
  <c r="M51" i="4"/>
  <c r="M36" i="4"/>
  <c r="M42" i="4"/>
  <c r="M43" i="4"/>
  <c r="M16" i="4"/>
  <c r="M15" i="4"/>
  <c r="M46" i="4"/>
  <c r="M52" i="4"/>
  <c r="M38" i="4"/>
  <c r="M11" i="4"/>
  <c r="M17" i="4"/>
  <c r="M29" i="4"/>
  <c r="M30" i="4"/>
  <c r="M40" i="4"/>
  <c r="M3" i="4"/>
  <c r="M14" i="4"/>
  <c r="M2" i="4"/>
  <c r="L2" i="8"/>
  <c r="L2" i="5" a="1"/>
  <c r="L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<sst xmlns="http://schemas.openxmlformats.org/spreadsheetml/2006/main" count="1230" uniqueCount="159">
  <si>
    <t>Order ID</t>
  </si>
  <si>
    <t>Ship Mode</t>
  </si>
  <si>
    <t>Customer Name</t>
  </si>
  <si>
    <t>Segment</t>
  </si>
  <si>
    <t>State</t>
  </si>
  <si>
    <t>Postal Code</t>
  </si>
  <si>
    <t>Category</t>
  </si>
  <si>
    <t>Cost of Goods</t>
  </si>
  <si>
    <t>Price</t>
  </si>
  <si>
    <t>Quantity</t>
  </si>
  <si>
    <t>CA-2014-156587</t>
  </si>
  <si>
    <t>First Class</t>
  </si>
  <si>
    <t>Aaron Bergman</t>
  </si>
  <si>
    <t>Consumer</t>
  </si>
  <si>
    <t>Washington</t>
  </si>
  <si>
    <t>TV</t>
  </si>
  <si>
    <t>CA-2017-107174</t>
  </si>
  <si>
    <t>Standard Class</t>
  </si>
  <si>
    <t>Adam Bellavance</t>
  </si>
  <si>
    <t>Home Office</t>
  </si>
  <si>
    <t>CA-2015-150511</t>
  </si>
  <si>
    <t>Laptop</t>
  </si>
  <si>
    <t>CA-2016-162901</t>
  </si>
  <si>
    <t>Aaron Smayling</t>
  </si>
  <si>
    <t>Corporate</t>
  </si>
  <si>
    <t>Virginia</t>
  </si>
  <si>
    <t>US-2016-108637</t>
  </si>
  <si>
    <t>US-2017-108063</t>
  </si>
  <si>
    <t>Adam Shillingsburg</t>
  </si>
  <si>
    <t>CA-2014-152905</t>
  </si>
  <si>
    <t>Texas</t>
  </si>
  <si>
    <t>CA-2017-162691</t>
  </si>
  <si>
    <t>Mobile</t>
  </si>
  <si>
    <t>CA-2016-147109</t>
  </si>
  <si>
    <t>Adam Hart</t>
  </si>
  <si>
    <t>CA-2016-104311</t>
  </si>
  <si>
    <t>CA-2017-126788</t>
  </si>
  <si>
    <t>Adrian Barton</t>
  </si>
  <si>
    <t>CA-2015-163181</t>
  </si>
  <si>
    <t>CA-2017-145702</t>
  </si>
  <si>
    <t>Second Class</t>
  </si>
  <si>
    <t>Tennessee</t>
  </si>
  <si>
    <t>CA-2017-125451</t>
  </si>
  <si>
    <t>Rhode Island</t>
  </si>
  <si>
    <t>CA-2017-164000</t>
  </si>
  <si>
    <t>Aaron Hawkins</t>
  </si>
  <si>
    <t>Pennsylvania</t>
  </si>
  <si>
    <t>CA-2017-134173</t>
  </si>
  <si>
    <t>CA-2017-112004</t>
  </si>
  <si>
    <t>CA-2017-136448</t>
  </si>
  <si>
    <t>US-2017-147655</t>
  </si>
  <si>
    <t>Oregon</t>
  </si>
  <si>
    <t>CA-2017-121643</t>
  </si>
  <si>
    <t>CA-2016-145261</t>
  </si>
  <si>
    <t>Adrian Hane</t>
  </si>
  <si>
    <t>CA-2016-140935</t>
  </si>
  <si>
    <t>Oklahoma</t>
  </si>
  <si>
    <t>CA-2015-161795</t>
  </si>
  <si>
    <t>Ohio</t>
  </si>
  <si>
    <t>CA-2017-113481</t>
  </si>
  <si>
    <t>North Carolina</t>
  </si>
  <si>
    <t>US-2014-150126</t>
  </si>
  <si>
    <t>New York</t>
  </si>
  <si>
    <t>CA-2016-129714</t>
  </si>
  <si>
    <t>CA-2016-149797</t>
  </si>
  <si>
    <t>CA-2016-119865</t>
  </si>
  <si>
    <t>CA-2014-156160</t>
  </si>
  <si>
    <t>CA-2016-147431</t>
  </si>
  <si>
    <t>CA-2014-157644</t>
  </si>
  <si>
    <t>CA-2014-122070</t>
  </si>
  <si>
    <t>CA-2016-161207</t>
  </si>
  <si>
    <t>New Hampshire</t>
  </si>
  <si>
    <t>CA-2017-118857</t>
  </si>
  <si>
    <t>Nevada</t>
  </si>
  <si>
    <t>CA-2017-145877</t>
  </si>
  <si>
    <t>Missouri</t>
  </si>
  <si>
    <t>CA-2015-127509</t>
  </si>
  <si>
    <t>CA-2016-162747</t>
  </si>
  <si>
    <t>Mississippi</t>
  </si>
  <si>
    <t>CA-2016-117121</t>
  </si>
  <si>
    <t>Michigan</t>
  </si>
  <si>
    <t>CA-2017-101042</t>
  </si>
  <si>
    <t>Kentucky</t>
  </si>
  <si>
    <t>CA-2017-151211</t>
  </si>
  <si>
    <t>CA-2017-118213</t>
  </si>
  <si>
    <t>Indiana</t>
  </si>
  <si>
    <t>CA-2014-103100</t>
  </si>
  <si>
    <t>CA-2016-150007</t>
  </si>
  <si>
    <t>Illinois</t>
  </si>
  <si>
    <t>CA-2017-140781</t>
  </si>
  <si>
    <t>CA-2016-135594</t>
  </si>
  <si>
    <t>CA-2017-165029</t>
  </si>
  <si>
    <t>Georgia</t>
  </si>
  <si>
    <t>CA-2015-130113</t>
  </si>
  <si>
    <t>California</t>
  </si>
  <si>
    <t>US-2014-158400</t>
  </si>
  <si>
    <t>CA-2014-113768</t>
  </si>
  <si>
    <t>CA-2017-101749</t>
  </si>
  <si>
    <t>CA-2016-148747</t>
  </si>
  <si>
    <t>CA-2017-159688</t>
  </si>
  <si>
    <t>CA-2016-144015</t>
  </si>
  <si>
    <t>Same Day</t>
  </si>
  <si>
    <t>CA-2014-160066</t>
  </si>
  <si>
    <t>CA-2014-132913</t>
  </si>
  <si>
    <t>CA-2017-150987</t>
  </si>
  <si>
    <t>CA-2017-153822</t>
  </si>
  <si>
    <t>Arizona</t>
  </si>
  <si>
    <t>US-2016-122245</t>
  </si>
  <si>
    <t>CA-2014-123295</t>
  </si>
  <si>
    <t>NAME</t>
  </si>
  <si>
    <t>A</t>
  </si>
  <si>
    <t>B</t>
  </si>
  <si>
    <t>C</t>
  </si>
  <si>
    <t>D</t>
  </si>
  <si>
    <t>PRICE</t>
  </si>
  <si>
    <t>QUANTITY</t>
  </si>
  <si>
    <t>TOTAL PRICE</t>
  </si>
  <si>
    <t>MOBILE</t>
  </si>
  <si>
    <t>Row Labels</t>
  </si>
  <si>
    <t>Grand Total</t>
  </si>
  <si>
    <t>Sales</t>
  </si>
  <si>
    <t>Profit</t>
  </si>
  <si>
    <t>Profit Margin</t>
  </si>
  <si>
    <t>Total Sales</t>
  </si>
  <si>
    <t>Total Profit</t>
  </si>
  <si>
    <t>Total Quantity</t>
  </si>
  <si>
    <t>Total Profits</t>
  </si>
  <si>
    <t>Total Orders</t>
  </si>
  <si>
    <t>VLOOKUP</t>
  </si>
  <si>
    <t>XLOOKUP</t>
  </si>
  <si>
    <t>IFS</t>
  </si>
  <si>
    <t>IF</t>
  </si>
  <si>
    <t>SUMIFS</t>
  </si>
  <si>
    <t>COUNTIFS</t>
  </si>
  <si>
    <t>Formula</t>
  </si>
  <si>
    <t>Meaning</t>
  </si>
  <si>
    <t>Syntax</t>
  </si>
  <si>
    <t>Use case</t>
  </si>
  <si>
    <t>Find data vertically</t>
  </si>
  <si>
    <t>=VLOOKUP()</t>
  </si>
  <si>
    <t>Find category from Order ID</t>
  </si>
  <si>
    <t>Modern lookup</t>
  </si>
  <si>
    <t>=XLOOKUP()</t>
  </si>
  <si>
    <t>Better VLOOKUP</t>
  </si>
  <si>
    <t>Decision making</t>
  </si>
  <si>
    <t>=IF()</t>
  </si>
  <si>
    <t>Multiple decisions</t>
  </si>
  <si>
    <t>=IFS()</t>
  </si>
  <si>
    <t>High/Medium/Low sales</t>
  </si>
  <si>
    <t>Conditional sum</t>
  </si>
  <si>
    <t>=SUMIFS()</t>
  </si>
  <si>
    <t>Sales by category</t>
  </si>
  <si>
    <t>Conditional count</t>
  </si>
  <si>
    <t>=COUNTIFS()</t>
  </si>
  <si>
    <t>Orders by category</t>
  </si>
  <si>
    <t>Profit Status (USING IF)</t>
  </si>
  <si>
    <t>Sales Category(USING IFS)</t>
  </si>
  <si>
    <t>High Profit and Low Profit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</si>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</sst>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rgb="FF000000"/>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2" xfId="0" applyBorder="1" applyAlignment="1">
      <alignment horizontal="center"/>
    </xf>
    <xf numFmtId="0" fontId="0" fillId="0" borderId="1" xfId="0" applyBorder="1"/>
    <xf numFmtId="0" fontId="0" fillId="0" borderId="0" xfId="0" applyAlignment="1">
      <alignment horizontal="center"/>
    </xf>
    <xf numFmtId="0" fontId="1" fillId="2" borderId="2" xfId="0" applyFont="1" applyFill="1" applyBorder="1" applyAlignment="1">
      <alignment horizontal="center"/>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3" xfId="0" applyBorder="1" applyAlignment="1">
      <alignment horizont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4" xfId="0" applyBorder="1" applyAlignment="1">
      <alignment horizontal="center"/>
    </xf>
    <xf numFmtId="9" fontId="0" fillId="0" borderId="3" xfId="1" applyFont="1" applyBorder="1" applyAlignment="1">
      <alignment horizontal="center" vertic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9" xfId="0" applyBorder="1" applyAlignment="1">
      <alignment horizontal="center" vertical="center"/>
    </xf>
    <xf numFmtId="9" fontId="0" fillId="0" borderId="10" xfId="1" applyFont="1" applyBorder="1" applyAlignment="1">
      <alignment horizontal="center" vertical="center"/>
    </xf>
    <xf numFmtId="0" fontId="0" fillId="0" borderId="10" xfId="0" applyBorder="1" applyAlignment="1">
      <alignment horizontal="center"/>
    </xf>
    <xf numFmtId="0" fontId="0" fillId="3" borderId="9" xfId="0" applyFill="1" applyBorder="1" applyAlignment="1">
      <alignment horizontal="center" vertical="center"/>
    </xf>
    <xf numFmtId="0" fontId="0" fillId="0" borderId="0" xfId="0" applyNumberFormat="1"/>
    <xf numFmtId="0" fontId="3" fillId="0" borderId="0" xfId="0" applyFont="1" applyAlignment="1">
      <alignment horizontal="center"/>
    </xf>
    <xf numFmtId="1" fontId="4" fillId="4" borderId="0" xfId="0" applyNumberFormat="1" applyFont="1" applyFill="1" applyAlignment="1">
      <alignment horizontal="center"/>
    </xf>
    <xf numFmtId="0" fontId="4" fillId="4" borderId="0" xfId="0" applyFont="1" applyFill="1" applyAlignment="1">
      <alignment horizontal="center"/>
    </xf>
    <xf numFmtId="0" fontId="3" fillId="2" borderId="0" xfId="0" applyFont="1" applyFill="1"/>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Border="1"/>
    <xf numFmtId="0" fontId="0" fillId="3" borderId="0" xfId="0" applyFont="1" applyFill="1" applyBorder="1" applyAlignment="1">
      <alignment horizontal="center" vertical="center"/>
    </xf>
    <xf numFmtId="0" fontId="0" fillId="0" borderId="0" xfId="0" applyFont="1" applyBorder="1" applyAlignment="1">
      <alignment horizontal="center" vertical="center"/>
    </xf>
    <xf numFmtId="0" fontId="3" fillId="2" borderId="0" xfId="0" applyFont="1" applyFill="1" applyAlignment="1">
      <alignment horizontal="center"/>
    </xf>
  </cellXfs>
  <cellStyles count="2">
    <cellStyle name="Normal" xfId="0" builtinId="0"/>
    <cellStyle name="Percent" xfId="1" builtinId="5"/>
  </cellStyles>
  <dxfs count="18">
    <dxf>
      <font>
        <b/>
        <i val="0"/>
        <strike val="0"/>
        <condense val="0"/>
        <extend val="0"/>
        <outline val="0"/>
        <shadow val="0"/>
        <u val="none"/>
        <vertAlign val="baseline"/>
        <sz val="12"/>
        <color rgb="FF000000"/>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a:t>
            </a:r>
            <a:r>
              <a:rPr lang="en-IN"/>
              <a:t>Catogory </a:t>
            </a:r>
          </a:p>
        </c:rich>
      </c:tx>
      <c:layout>
        <c:manualLayout>
          <c:xMode val="edge"/>
          <c:yMode val="edge"/>
          <c:x val="0.37327836128409747"/>
          <c:y val="0.136490966152166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 Sales</c:v>
                </c:pt>
              </c:strCache>
            </c:strRef>
          </c:tx>
          <c:spPr>
            <a:solidFill>
              <a:schemeClr val="accent1"/>
            </a:solidFill>
            <a:ln>
              <a:noFill/>
            </a:ln>
            <a:effectLst/>
          </c:spPr>
          <c:invertIfNegative val="0"/>
          <c:cat>
            <c:strRef>
              <c:f>Analysis!$A$4:$A$7</c:f>
              <c:strCache>
                <c:ptCount val="3"/>
                <c:pt idx="0">
                  <c:v>Laptop</c:v>
                </c:pt>
                <c:pt idx="1">
                  <c:v>TV</c:v>
                </c:pt>
                <c:pt idx="2">
                  <c:v>Mobile</c:v>
                </c:pt>
              </c:strCache>
            </c:strRef>
          </c:cat>
          <c:val>
            <c:numRef>
              <c:f>Analysis!$B$4:$B$7</c:f>
              <c:numCache>
                <c:formatCode>General</c:formatCode>
                <c:ptCount val="3"/>
                <c:pt idx="0">
                  <c:v>138997.06299999997</c:v>
                </c:pt>
                <c:pt idx="1">
                  <c:v>28641.494999999999</c:v>
                </c:pt>
                <c:pt idx="2">
                  <c:v>9133.148000000001</c:v>
                </c:pt>
              </c:numCache>
            </c:numRef>
          </c:val>
          <c:extLst>
            <c:ext xmlns:c16="http://schemas.microsoft.com/office/drawing/2014/chart" uri="{C3380CC4-5D6E-409C-BE32-E72D297353CC}">
              <c16:uniqueId val="{00000000-0854-43E2-BEE2-AFC700E5E04D}"/>
            </c:ext>
          </c:extLst>
        </c:ser>
        <c:ser>
          <c:idx val="1"/>
          <c:order val="1"/>
          <c:tx>
            <c:strRef>
              <c:f>Analysis!$C$3</c:f>
              <c:strCache>
                <c:ptCount val="1"/>
                <c:pt idx="0">
                  <c:v>Total Profit</c:v>
                </c:pt>
              </c:strCache>
            </c:strRef>
          </c:tx>
          <c:spPr>
            <a:solidFill>
              <a:schemeClr val="accent2"/>
            </a:solidFill>
            <a:ln>
              <a:noFill/>
            </a:ln>
            <a:effectLst/>
          </c:spPr>
          <c:invertIfNegative val="0"/>
          <c:cat>
            <c:strRef>
              <c:f>Analysis!$A$4:$A$7</c:f>
              <c:strCache>
                <c:ptCount val="3"/>
                <c:pt idx="0">
                  <c:v>Laptop</c:v>
                </c:pt>
                <c:pt idx="1">
                  <c:v>TV</c:v>
                </c:pt>
                <c:pt idx="2">
                  <c:v>Mobile</c:v>
                </c:pt>
              </c:strCache>
            </c:strRef>
          </c:cat>
          <c:val>
            <c:numRef>
              <c:f>Analysis!$C$4:$C$7</c:f>
              <c:numCache>
                <c:formatCode>General</c:formatCode>
                <c:ptCount val="3"/>
                <c:pt idx="0">
                  <c:v>41699.118899999994</c:v>
                </c:pt>
                <c:pt idx="1">
                  <c:v>8592.4484999999986</c:v>
                </c:pt>
                <c:pt idx="2">
                  <c:v>2739.9443999999999</c:v>
                </c:pt>
              </c:numCache>
            </c:numRef>
          </c:val>
          <c:extLst>
            <c:ext xmlns:c16="http://schemas.microsoft.com/office/drawing/2014/chart" uri="{C3380CC4-5D6E-409C-BE32-E72D297353CC}">
              <c16:uniqueId val="{00000001-0854-43E2-BEE2-AFC700E5E04D}"/>
            </c:ext>
          </c:extLst>
        </c:ser>
        <c:ser>
          <c:idx val="2"/>
          <c:order val="2"/>
          <c:tx>
            <c:strRef>
              <c:f>Analysis!$D$3</c:f>
              <c:strCache>
                <c:ptCount val="1"/>
                <c:pt idx="0">
                  <c:v>Total Quantity</c:v>
                </c:pt>
              </c:strCache>
            </c:strRef>
          </c:tx>
          <c:spPr>
            <a:solidFill>
              <a:schemeClr val="accent3"/>
            </a:solidFill>
            <a:ln>
              <a:noFill/>
            </a:ln>
            <a:effectLst/>
          </c:spPr>
          <c:invertIfNegative val="0"/>
          <c:cat>
            <c:strRef>
              <c:f>Analysis!$A$4:$A$7</c:f>
              <c:strCache>
                <c:ptCount val="3"/>
                <c:pt idx="0">
                  <c:v>Laptop</c:v>
                </c:pt>
                <c:pt idx="1">
                  <c:v>TV</c:v>
                </c:pt>
                <c:pt idx="2">
                  <c:v>Mobile</c:v>
                </c:pt>
              </c:strCache>
            </c:strRef>
          </c:cat>
          <c:val>
            <c:numRef>
              <c:f>Analysis!$D$4:$D$7</c:f>
              <c:numCache>
                <c:formatCode>General</c:formatCode>
                <c:ptCount val="3"/>
                <c:pt idx="0">
                  <c:v>135</c:v>
                </c:pt>
                <c:pt idx="1">
                  <c:v>56</c:v>
                </c:pt>
                <c:pt idx="2">
                  <c:v>30</c:v>
                </c:pt>
              </c:numCache>
            </c:numRef>
          </c:val>
          <c:extLst>
            <c:ext xmlns:c16="http://schemas.microsoft.com/office/drawing/2014/chart" uri="{C3380CC4-5D6E-409C-BE32-E72D297353CC}">
              <c16:uniqueId val="{00000002-0854-43E2-BEE2-AFC700E5E04D}"/>
            </c:ext>
          </c:extLst>
        </c:ser>
        <c:dLbls>
          <c:showLegendKey val="0"/>
          <c:showVal val="0"/>
          <c:showCatName val="0"/>
          <c:showSerName val="0"/>
          <c:showPercent val="0"/>
          <c:showBubbleSize val="0"/>
        </c:dLbls>
        <c:gapWidth val="150"/>
        <c:axId val="685282175"/>
        <c:axId val="685287455"/>
      </c:barChart>
      <c:catAx>
        <c:axId val="68528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87455"/>
        <c:crosses val="autoZero"/>
        <c:auto val="1"/>
        <c:lblAlgn val="ctr"/>
        <c:lblOffset val="100"/>
        <c:noMultiLvlLbl val="0"/>
      </c:catAx>
      <c:valAx>
        <c:axId val="68528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8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Total Sales</c:v>
                </c:pt>
              </c:strCache>
            </c:strRef>
          </c:tx>
          <c:spPr>
            <a:solidFill>
              <a:schemeClr val="accent1"/>
            </a:solidFill>
            <a:ln>
              <a:noFill/>
            </a:ln>
            <a:effectLst/>
          </c:spPr>
          <c:invertIfNegative val="0"/>
          <c:cat>
            <c:strRef>
              <c:f>Analysis!$F$4:$F$26</c:f>
              <c:strCache>
                <c:ptCount val="22"/>
                <c:pt idx="0">
                  <c:v>Washington</c:v>
                </c:pt>
                <c:pt idx="1">
                  <c:v>Virginia</c:v>
                </c:pt>
                <c:pt idx="2">
                  <c:v>Texas</c:v>
                </c:pt>
                <c:pt idx="3">
                  <c:v>Tennessee</c:v>
                </c:pt>
                <c:pt idx="4">
                  <c:v>Rhode Island</c:v>
                </c:pt>
                <c:pt idx="5">
                  <c:v>Pennsylvania</c:v>
                </c:pt>
                <c:pt idx="6">
                  <c:v>Oregon</c:v>
                </c:pt>
                <c:pt idx="7">
                  <c:v>Oklahoma</c:v>
                </c:pt>
                <c:pt idx="8">
                  <c:v>Ohio</c:v>
                </c:pt>
                <c:pt idx="9">
                  <c:v>North Carolina</c:v>
                </c:pt>
                <c:pt idx="10">
                  <c:v>New York</c:v>
                </c:pt>
                <c:pt idx="11">
                  <c:v>New Hampshire</c:v>
                </c:pt>
                <c:pt idx="12">
                  <c:v>Nevada</c:v>
                </c:pt>
                <c:pt idx="13">
                  <c:v>Missouri</c:v>
                </c:pt>
                <c:pt idx="14">
                  <c:v>Mississippi</c:v>
                </c:pt>
                <c:pt idx="15">
                  <c:v>Michigan</c:v>
                </c:pt>
                <c:pt idx="16">
                  <c:v>Kentucky</c:v>
                </c:pt>
                <c:pt idx="17">
                  <c:v>Indiana</c:v>
                </c:pt>
                <c:pt idx="18">
                  <c:v>Illinois</c:v>
                </c:pt>
                <c:pt idx="19">
                  <c:v>Georgia</c:v>
                </c:pt>
                <c:pt idx="20">
                  <c:v>California</c:v>
                </c:pt>
                <c:pt idx="21">
                  <c:v>Arizona</c:v>
                </c:pt>
              </c:strCache>
            </c:strRef>
          </c:cat>
          <c:val>
            <c:numRef>
              <c:f>Analysis!$G$4:$G$26</c:f>
              <c:numCache>
                <c:formatCode>General</c:formatCode>
                <c:ptCount val="22"/>
                <c:pt idx="0">
                  <c:v>14343.812</c:v>
                </c:pt>
                <c:pt idx="1">
                  <c:v>422.51</c:v>
                </c:pt>
                <c:pt idx="2">
                  <c:v>6402.4500000000007</c:v>
                </c:pt>
                <c:pt idx="3">
                  <c:v>943.05599999999993</c:v>
                </c:pt>
                <c:pt idx="4">
                  <c:v>962.976</c:v>
                </c:pt>
                <c:pt idx="5">
                  <c:v>472.77500000000003</c:v>
                </c:pt>
                <c:pt idx="6">
                  <c:v>1486.886</c:v>
                </c:pt>
                <c:pt idx="7">
                  <c:v>443.96</c:v>
                </c:pt>
                <c:pt idx="8">
                  <c:v>6.016</c:v>
                </c:pt>
                <c:pt idx="9">
                  <c:v>1391.4</c:v>
                </c:pt>
                <c:pt idx="10">
                  <c:v>5211.576</c:v>
                </c:pt>
                <c:pt idx="11">
                  <c:v>83.789999999999992</c:v>
                </c:pt>
                <c:pt idx="12">
                  <c:v>982.25</c:v>
                </c:pt>
                <c:pt idx="13">
                  <c:v>616.8599999999999</c:v>
                </c:pt>
                <c:pt idx="14">
                  <c:v>605.15</c:v>
                </c:pt>
                <c:pt idx="15">
                  <c:v>128605.62</c:v>
                </c:pt>
                <c:pt idx="16">
                  <c:v>5240.0699999999988</c:v>
                </c:pt>
                <c:pt idx="17">
                  <c:v>8.1</c:v>
                </c:pt>
                <c:pt idx="18">
                  <c:v>482.28800000000001</c:v>
                </c:pt>
                <c:pt idx="19">
                  <c:v>38.519999999999996</c:v>
                </c:pt>
                <c:pt idx="20">
                  <c:v>5780.3539999999994</c:v>
                </c:pt>
                <c:pt idx="21">
                  <c:v>2241.2870000000003</c:v>
                </c:pt>
              </c:numCache>
            </c:numRef>
          </c:val>
          <c:extLst>
            <c:ext xmlns:c16="http://schemas.microsoft.com/office/drawing/2014/chart" uri="{C3380CC4-5D6E-409C-BE32-E72D297353CC}">
              <c16:uniqueId val="{00000000-DC8B-4616-BD1B-B8CCF15F2E1B}"/>
            </c:ext>
          </c:extLst>
        </c:ser>
        <c:ser>
          <c:idx val="1"/>
          <c:order val="1"/>
          <c:tx>
            <c:strRef>
              <c:f>Analysis!$H$3</c:f>
              <c:strCache>
                <c:ptCount val="1"/>
                <c:pt idx="0">
                  <c:v>Total Profit</c:v>
                </c:pt>
              </c:strCache>
            </c:strRef>
          </c:tx>
          <c:spPr>
            <a:solidFill>
              <a:schemeClr val="accent2"/>
            </a:solidFill>
            <a:ln>
              <a:noFill/>
            </a:ln>
            <a:effectLst/>
          </c:spPr>
          <c:invertIfNegative val="0"/>
          <c:cat>
            <c:strRef>
              <c:f>Analysis!$F$4:$F$26</c:f>
              <c:strCache>
                <c:ptCount val="22"/>
                <c:pt idx="0">
                  <c:v>Washington</c:v>
                </c:pt>
                <c:pt idx="1">
                  <c:v>Virginia</c:v>
                </c:pt>
                <c:pt idx="2">
                  <c:v>Texas</c:v>
                </c:pt>
                <c:pt idx="3">
                  <c:v>Tennessee</c:v>
                </c:pt>
                <c:pt idx="4">
                  <c:v>Rhode Island</c:v>
                </c:pt>
                <c:pt idx="5">
                  <c:v>Pennsylvania</c:v>
                </c:pt>
                <c:pt idx="6">
                  <c:v>Oregon</c:v>
                </c:pt>
                <c:pt idx="7">
                  <c:v>Oklahoma</c:v>
                </c:pt>
                <c:pt idx="8">
                  <c:v>Ohio</c:v>
                </c:pt>
                <c:pt idx="9">
                  <c:v>North Carolina</c:v>
                </c:pt>
                <c:pt idx="10">
                  <c:v>New York</c:v>
                </c:pt>
                <c:pt idx="11">
                  <c:v>New Hampshire</c:v>
                </c:pt>
                <c:pt idx="12">
                  <c:v>Nevada</c:v>
                </c:pt>
                <c:pt idx="13">
                  <c:v>Missouri</c:v>
                </c:pt>
                <c:pt idx="14">
                  <c:v>Mississippi</c:v>
                </c:pt>
                <c:pt idx="15">
                  <c:v>Michigan</c:v>
                </c:pt>
                <c:pt idx="16">
                  <c:v>Kentucky</c:v>
                </c:pt>
                <c:pt idx="17">
                  <c:v>Indiana</c:v>
                </c:pt>
                <c:pt idx="18">
                  <c:v>Illinois</c:v>
                </c:pt>
                <c:pt idx="19">
                  <c:v>Georgia</c:v>
                </c:pt>
                <c:pt idx="20">
                  <c:v>California</c:v>
                </c:pt>
                <c:pt idx="21">
                  <c:v>Arizona</c:v>
                </c:pt>
              </c:strCache>
            </c:strRef>
          </c:cat>
          <c:val>
            <c:numRef>
              <c:f>Analysis!$H$4:$H$26</c:f>
              <c:numCache>
                <c:formatCode>General</c:formatCode>
                <c:ptCount val="22"/>
                <c:pt idx="0">
                  <c:v>4303.1436000000003</c:v>
                </c:pt>
                <c:pt idx="1">
                  <c:v>126.75300000000001</c:v>
                </c:pt>
                <c:pt idx="2">
                  <c:v>1920.7349999999999</c:v>
                </c:pt>
                <c:pt idx="3">
                  <c:v>282.91679999999997</c:v>
                </c:pt>
                <c:pt idx="4">
                  <c:v>288.89279999999997</c:v>
                </c:pt>
                <c:pt idx="5">
                  <c:v>141.83249999999998</c:v>
                </c:pt>
                <c:pt idx="6">
                  <c:v>446.06580000000008</c:v>
                </c:pt>
                <c:pt idx="7">
                  <c:v>133.18799999999999</c:v>
                </c:pt>
                <c:pt idx="8">
                  <c:v>1.8048000000000002</c:v>
                </c:pt>
                <c:pt idx="9">
                  <c:v>417.42000000000007</c:v>
                </c:pt>
                <c:pt idx="10">
                  <c:v>1563.4728</c:v>
                </c:pt>
                <c:pt idx="11">
                  <c:v>25.136999999999993</c:v>
                </c:pt>
                <c:pt idx="12">
                  <c:v>294.67500000000001</c:v>
                </c:pt>
                <c:pt idx="13">
                  <c:v>185.05799999999994</c:v>
                </c:pt>
                <c:pt idx="14">
                  <c:v>181.54500000000002</c:v>
                </c:pt>
                <c:pt idx="15">
                  <c:v>38581.686000000002</c:v>
                </c:pt>
                <c:pt idx="16">
                  <c:v>1572.0209999999997</c:v>
                </c:pt>
                <c:pt idx="17">
                  <c:v>2.4300000000000002</c:v>
                </c:pt>
                <c:pt idx="18">
                  <c:v>144.68639999999999</c:v>
                </c:pt>
                <c:pt idx="19">
                  <c:v>11.556000000000001</c:v>
                </c:pt>
                <c:pt idx="20">
                  <c:v>1734.1061999999997</c:v>
                </c:pt>
                <c:pt idx="21">
                  <c:v>672.38610000000006</c:v>
                </c:pt>
              </c:numCache>
            </c:numRef>
          </c:val>
          <c:extLst>
            <c:ext xmlns:c16="http://schemas.microsoft.com/office/drawing/2014/chart" uri="{C3380CC4-5D6E-409C-BE32-E72D297353CC}">
              <c16:uniqueId val="{00000001-DC8B-4616-BD1B-B8CCF15F2E1B}"/>
            </c:ext>
          </c:extLst>
        </c:ser>
        <c:ser>
          <c:idx val="2"/>
          <c:order val="2"/>
          <c:tx>
            <c:strRef>
              <c:f>Analysis!$I$3</c:f>
              <c:strCache>
                <c:ptCount val="1"/>
                <c:pt idx="0">
                  <c:v>Total Quantity</c:v>
                </c:pt>
              </c:strCache>
            </c:strRef>
          </c:tx>
          <c:spPr>
            <a:solidFill>
              <a:schemeClr val="accent3"/>
            </a:solidFill>
            <a:ln>
              <a:noFill/>
            </a:ln>
            <a:effectLst/>
          </c:spPr>
          <c:invertIfNegative val="0"/>
          <c:cat>
            <c:strRef>
              <c:f>Analysis!$F$4:$F$26</c:f>
              <c:strCache>
                <c:ptCount val="22"/>
                <c:pt idx="0">
                  <c:v>Washington</c:v>
                </c:pt>
                <c:pt idx="1">
                  <c:v>Virginia</c:v>
                </c:pt>
                <c:pt idx="2">
                  <c:v>Texas</c:v>
                </c:pt>
                <c:pt idx="3">
                  <c:v>Tennessee</c:v>
                </c:pt>
                <c:pt idx="4">
                  <c:v>Rhode Island</c:v>
                </c:pt>
                <c:pt idx="5">
                  <c:v>Pennsylvania</c:v>
                </c:pt>
                <c:pt idx="6">
                  <c:v>Oregon</c:v>
                </c:pt>
                <c:pt idx="7">
                  <c:v>Oklahoma</c:v>
                </c:pt>
                <c:pt idx="8">
                  <c:v>Ohio</c:v>
                </c:pt>
                <c:pt idx="9">
                  <c:v>North Carolina</c:v>
                </c:pt>
                <c:pt idx="10">
                  <c:v>New York</c:v>
                </c:pt>
                <c:pt idx="11">
                  <c:v>New Hampshire</c:v>
                </c:pt>
                <c:pt idx="12">
                  <c:v>Nevada</c:v>
                </c:pt>
                <c:pt idx="13">
                  <c:v>Missouri</c:v>
                </c:pt>
                <c:pt idx="14">
                  <c:v>Mississippi</c:v>
                </c:pt>
                <c:pt idx="15">
                  <c:v>Michigan</c:v>
                </c:pt>
                <c:pt idx="16">
                  <c:v>Kentucky</c:v>
                </c:pt>
                <c:pt idx="17">
                  <c:v>Indiana</c:v>
                </c:pt>
                <c:pt idx="18">
                  <c:v>Illinois</c:v>
                </c:pt>
                <c:pt idx="19">
                  <c:v>Georgia</c:v>
                </c:pt>
                <c:pt idx="20">
                  <c:v>California</c:v>
                </c:pt>
                <c:pt idx="21">
                  <c:v>Arizona</c:v>
                </c:pt>
              </c:strCache>
            </c:strRef>
          </c:cat>
          <c:val>
            <c:numRef>
              <c:f>Analysis!$I$4:$I$26</c:f>
              <c:numCache>
                <c:formatCode>General</c:formatCode>
                <c:ptCount val="22"/>
                <c:pt idx="0">
                  <c:v>10</c:v>
                </c:pt>
                <c:pt idx="1">
                  <c:v>7</c:v>
                </c:pt>
                <c:pt idx="2">
                  <c:v>24</c:v>
                </c:pt>
                <c:pt idx="3">
                  <c:v>3</c:v>
                </c:pt>
                <c:pt idx="4">
                  <c:v>4</c:v>
                </c:pt>
                <c:pt idx="5">
                  <c:v>19</c:v>
                </c:pt>
                <c:pt idx="6">
                  <c:v>13</c:v>
                </c:pt>
                <c:pt idx="7">
                  <c:v>2</c:v>
                </c:pt>
                <c:pt idx="8">
                  <c:v>2</c:v>
                </c:pt>
                <c:pt idx="9">
                  <c:v>2</c:v>
                </c:pt>
                <c:pt idx="10">
                  <c:v>35</c:v>
                </c:pt>
                <c:pt idx="11">
                  <c:v>3</c:v>
                </c:pt>
                <c:pt idx="12">
                  <c:v>5</c:v>
                </c:pt>
                <c:pt idx="13">
                  <c:v>9</c:v>
                </c:pt>
                <c:pt idx="14">
                  <c:v>7</c:v>
                </c:pt>
                <c:pt idx="15">
                  <c:v>13</c:v>
                </c:pt>
                <c:pt idx="16">
                  <c:v>9</c:v>
                </c:pt>
                <c:pt idx="17">
                  <c:v>2</c:v>
                </c:pt>
                <c:pt idx="18">
                  <c:v>12</c:v>
                </c:pt>
                <c:pt idx="19">
                  <c:v>3</c:v>
                </c:pt>
                <c:pt idx="20">
                  <c:v>28</c:v>
                </c:pt>
                <c:pt idx="21">
                  <c:v>9</c:v>
                </c:pt>
              </c:numCache>
            </c:numRef>
          </c:val>
          <c:extLst>
            <c:ext xmlns:c16="http://schemas.microsoft.com/office/drawing/2014/chart" uri="{C3380CC4-5D6E-409C-BE32-E72D297353CC}">
              <c16:uniqueId val="{00000002-DC8B-4616-BD1B-B8CCF15F2E1B}"/>
            </c:ext>
          </c:extLst>
        </c:ser>
        <c:dLbls>
          <c:showLegendKey val="0"/>
          <c:showVal val="0"/>
          <c:showCatName val="0"/>
          <c:showSerName val="0"/>
          <c:showPercent val="0"/>
          <c:showBubbleSize val="0"/>
        </c:dLbls>
        <c:gapWidth val="219"/>
        <c:axId val="685317695"/>
        <c:axId val="685328735"/>
      </c:barChart>
      <c:catAx>
        <c:axId val="68531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28735"/>
        <c:crosses val="autoZero"/>
        <c:auto val="1"/>
        <c:lblAlgn val="ctr"/>
        <c:lblOffset val="100"/>
        <c:noMultiLvlLbl val="0"/>
      </c:catAx>
      <c:valAx>
        <c:axId val="6853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1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a:t>
            </a:r>
            <a:r>
              <a:rPr lang="en-IN"/>
              <a:t>Segment  </a:t>
            </a:r>
          </a:p>
        </c:rich>
      </c:tx>
      <c:layout>
        <c:manualLayout>
          <c:xMode val="edge"/>
          <c:yMode val="edge"/>
          <c:x val="0.3813861784023407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 Profit</c:v>
                </c:pt>
              </c:strCache>
            </c:strRef>
          </c:tx>
          <c:spPr>
            <a:solidFill>
              <a:schemeClr val="accent1"/>
            </a:solidFill>
            <a:ln>
              <a:noFill/>
            </a:ln>
            <a:effectLst/>
          </c:spPr>
          <c:invertIfNegative val="0"/>
          <c:cat>
            <c:strRef>
              <c:f>Analysis!$A$13:$A$16</c:f>
              <c:strCache>
                <c:ptCount val="3"/>
                <c:pt idx="0">
                  <c:v>Consumer</c:v>
                </c:pt>
                <c:pt idx="1">
                  <c:v>Corporate</c:v>
                </c:pt>
                <c:pt idx="2">
                  <c:v>Home Office</c:v>
                </c:pt>
              </c:strCache>
            </c:strRef>
          </c:cat>
          <c:val>
            <c:numRef>
              <c:f>Analysis!$B$13:$B$16</c:f>
              <c:numCache>
                <c:formatCode>General</c:formatCode>
                <c:ptCount val="3"/>
                <c:pt idx="0">
                  <c:v>41785.4139</c:v>
                </c:pt>
                <c:pt idx="1">
                  <c:v>5873.4975000000013</c:v>
                </c:pt>
                <c:pt idx="2">
                  <c:v>5372.6004000000003</c:v>
                </c:pt>
              </c:numCache>
            </c:numRef>
          </c:val>
          <c:extLst>
            <c:ext xmlns:c16="http://schemas.microsoft.com/office/drawing/2014/chart" uri="{C3380CC4-5D6E-409C-BE32-E72D297353CC}">
              <c16:uniqueId val="{00000000-3296-4696-A6FF-989A1CAA91B1}"/>
            </c:ext>
          </c:extLst>
        </c:ser>
        <c:ser>
          <c:idx val="1"/>
          <c:order val="1"/>
          <c:tx>
            <c:strRef>
              <c:f>Analysis!$C$12</c:f>
              <c:strCache>
                <c:ptCount val="1"/>
                <c:pt idx="0">
                  <c:v>Total Sales</c:v>
                </c:pt>
              </c:strCache>
            </c:strRef>
          </c:tx>
          <c:spPr>
            <a:solidFill>
              <a:schemeClr val="accent2"/>
            </a:solidFill>
            <a:ln>
              <a:noFill/>
            </a:ln>
            <a:effectLst/>
          </c:spPr>
          <c:invertIfNegative val="0"/>
          <c:cat>
            <c:strRef>
              <c:f>Analysis!$A$13:$A$16</c:f>
              <c:strCache>
                <c:ptCount val="3"/>
                <c:pt idx="0">
                  <c:v>Consumer</c:v>
                </c:pt>
                <c:pt idx="1">
                  <c:v>Corporate</c:v>
                </c:pt>
                <c:pt idx="2">
                  <c:v>Home Office</c:v>
                </c:pt>
              </c:strCache>
            </c:strRef>
          </c:cat>
          <c:val>
            <c:numRef>
              <c:f>Analysis!$C$13:$C$16</c:f>
              <c:numCache>
                <c:formatCode>General</c:formatCode>
                <c:ptCount val="3"/>
                <c:pt idx="0">
                  <c:v>139284.71299999999</c:v>
                </c:pt>
                <c:pt idx="1">
                  <c:v>19578.325000000001</c:v>
                </c:pt>
                <c:pt idx="2">
                  <c:v>17908.667999999998</c:v>
                </c:pt>
              </c:numCache>
            </c:numRef>
          </c:val>
          <c:extLst>
            <c:ext xmlns:c16="http://schemas.microsoft.com/office/drawing/2014/chart" uri="{C3380CC4-5D6E-409C-BE32-E72D297353CC}">
              <c16:uniqueId val="{00000001-3296-4696-A6FF-989A1CAA91B1}"/>
            </c:ext>
          </c:extLst>
        </c:ser>
        <c:ser>
          <c:idx val="2"/>
          <c:order val="2"/>
          <c:tx>
            <c:strRef>
              <c:f>Analysis!$D$12</c:f>
              <c:strCache>
                <c:ptCount val="1"/>
                <c:pt idx="0">
                  <c:v>Total Quantity</c:v>
                </c:pt>
              </c:strCache>
            </c:strRef>
          </c:tx>
          <c:spPr>
            <a:solidFill>
              <a:schemeClr val="accent3"/>
            </a:solidFill>
            <a:ln>
              <a:noFill/>
            </a:ln>
            <a:effectLst/>
          </c:spPr>
          <c:invertIfNegative val="0"/>
          <c:cat>
            <c:strRef>
              <c:f>Analysis!$A$13:$A$16</c:f>
              <c:strCache>
                <c:ptCount val="3"/>
                <c:pt idx="0">
                  <c:v>Consumer</c:v>
                </c:pt>
                <c:pt idx="1">
                  <c:v>Corporate</c:v>
                </c:pt>
                <c:pt idx="2">
                  <c:v>Home Office</c:v>
                </c:pt>
              </c:strCache>
            </c:strRef>
          </c:cat>
          <c:val>
            <c:numRef>
              <c:f>Analysis!$D$13:$D$16</c:f>
              <c:numCache>
                <c:formatCode>General</c:formatCode>
                <c:ptCount val="3"/>
                <c:pt idx="0">
                  <c:v>72</c:v>
                </c:pt>
                <c:pt idx="1">
                  <c:v>105</c:v>
                </c:pt>
                <c:pt idx="2">
                  <c:v>44</c:v>
                </c:pt>
              </c:numCache>
            </c:numRef>
          </c:val>
          <c:extLst>
            <c:ext xmlns:c16="http://schemas.microsoft.com/office/drawing/2014/chart" uri="{C3380CC4-5D6E-409C-BE32-E72D297353CC}">
              <c16:uniqueId val="{00000002-3296-4696-A6FF-989A1CAA91B1}"/>
            </c:ext>
          </c:extLst>
        </c:ser>
        <c:dLbls>
          <c:showLegendKey val="0"/>
          <c:showVal val="0"/>
          <c:showCatName val="0"/>
          <c:showSerName val="0"/>
          <c:showPercent val="0"/>
          <c:showBubbleSize val="0"/>
        </c:dLbls>
        <c:gapWidth val="219"/>
        <c:overlap val="-27"/>
        <c:axId val="685334975"/>
        <c:axId val="685337375"/>
      </c:barChart>
      <c:catAx>
        <c:axId val="68533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37375"/>
        <c:crosses val="autoZero"/>
        <c:auto val="1"/>
        <c:lblAlgn val="ctr"/>
        <c:lblOffset val="100"/>
        <c:noMultiLvlLbl val="0"/>
      </c:catAx>
      <c:valAx>
        <c:axId val="68533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3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586740</xdr:colOff>
      <xdr:row>10</xdr:row>
      <xdr:rowOff>144780</xdr:rowOff>
    </xdr:from>
    <xdr:to>
      <xdr:col>21</xdr:col>
      <xdr:colOff>228600</xdr:colOff>
      <xdr:row>24</xdr:row>
      <xdr:rowOff>76200</xdr:rowOff>
    </xdr:to>
    <xdr:graphicFrame macro="">
      <xdr:nvGraphicFramePr>
        <xdr:cNvPr id="3" name="Chart 2">
          <a:extLst>
            <a:ext uri="{FF2B5EF4-FFF2-40B4-BE49-F238E27FC236}">
              <a16:creationId xmlns:a16="http://schemas.microsoft.com/office/drawing/2014/main" id="{682BCC00-FE0A-B382-A894-C09AAC705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11</xdr:row>
      <xdr:rowOff>15240</xdr:rowOff>
    </xdr:from>
    <xdr:to>
      <xdr:col>6</xdr:col>
      <xdr:colOff>205740</xdr:colOff>
      <xdr:row>24</xdr:row>
      <xdr:rowOff>99060</xdr:rowOff>
    </xdr:to>
    <xdr:graphicFrame macro="">
      <xdr:nvGraphicFramePr>
        <xdr:cNvPr id="5" name="Chart 4">
          <a:extLst>
            <a:ext uri="{FF2B5EF4-FFF2-40B4-BE49-F238E27FC236}">
              <a16:creationId xmlns:a16="http://schemas.microsoft.com/office/drawing/2014/main" id="{896E6D68-1385-D936-AB51-DBEC0538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11</xdr:row>
      <xdr:rowOff>0</xdr:rowOff>
    </xdr:from>
    <xdr:to>
      <xdr:col>13</xdr:col>
      <xdr:colOff>419100</xdr:colOff>
      <xdr:row>24</xdr:row>
      <xdr:rowOff>60960</xdr:rowOff>
    </xdr:to>
    <xdr:graphicFrame macro="">
      <xdr:nvGraphicFramePr>
        <xdr:cNvPr id="6" name="Chart 5">
          <a:extLst>
            <a:ext uri="{FF2B5EF4-FFF2-40B4-BE49-F238E27FC236}">
              <a16:creationId xmlns:a16="http://schemas.microsoft.com/office/drawing/2014/main" id="{2462EC2B-52F9-0CE3-E6FA-250DFE954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45720</xdr:colOff>
      <xdr:row>3</xdr:row>
      <xdr:rowOff>53340</xdr:rowOff>
    </xdr:from>
    <xdr:to>
      <xdr:col>8</xdr:col>
      <xdr:colOff>304800</xdr:colOff>
      <xdr:row>10</xdr:row>
      <xdr:rowOff>15240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3E48C361-506E-441F-BBF0-3AEA6F7DB6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99560" y="716280"/>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502920</xdr:colOff>
      <xdr:row>3</xdr:row>
      <xdr:rowOff>60960</xdr:rowOff>
    </xdr:from>
    <xdr:to>
      <xdr:col>14</xdr:col>
      <xdr:colOff>480060</xdr:colOff>
      <xdr:row>9</xdr:row>
      <xdr:rowOff>182879</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B00F70D7-2D7B-4C05-B065-FA3F4757E43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206740" y="723900"/>
              <a:ext cx="180594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548640</xdr:colOff>
      <xdr:row>3</xdr:row>
      <xdr:rowOff>76200</xdr:rowOff>
    </xdr:from>
    <xdr:to>
      <xdr:col>11</xdr:col>
      <xdr:colOff>259080</xdr:colOff>
      <xdr:row>10</xdr:row>
      <xdr:rowOff>22859</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4B1DC394-81B8-4E07-9613-1DEF217352F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172200" y="739140"/>
              <a:ext cx="17907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3</xdr:row>
      <xdr:rowOff>60961</xdr:rowOff>
    </xdr:from>
    <xdr:to>
      <xdr:col>17</xdr:col>
      <xdr:colOff>586740</xdr:colOff>
      <xdr:row>10</xdr:row>
      <xdr:rowOff>7620</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5E5CE063-9412-4AFA-B874-ED6F706B43C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142220" y="723901"/>
              <a:ext cx="18059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0</xdr:row>
      <xdr:rowOff>45720</xdr:rowOff>
    </xdr:from>
    <xdr:to>
      <xdr:col>4</xdr:col>
      <xdr:colOff>1074420</xdr:colOff>
      <xdr:row>4</xdr:row>
      <xdr:rowOff>175260</xdr:rowOff>
    </xdr:to>
    <xdr:sp macro="" textlink="">
      <xdr:nvSpPr>
        <xdr:cNvPr id="11" name="Rectangle: Rounded Corners 10">
          <a:extLst>
            <a:ext uri="{FF2B5EF4-FFF2-40B4-BE49-F238E27FC236}">
              <a16:creationId xmlns:a16="http://schemas.microsoft.com/office/drawing/2014/main" id="{8C20D690-3755-B6C6-95D4-E93D36C2DBFF}"/>
            </a:ext>
          </a:extLst>
        </xdr:cNvPr>
        <xdr:cNvSpPr/>
      </xdr:nvSpPr>
      <xdr:spPr>
        <a:xfrm>
          <a:off x="30480" y="45720"/>
          <a:ext cx="3855720" cy="975360"/>
        </a:xfrm>
        <a:prstGeom prst="roundRect">
          <a:avLst/>
        </a:prstGeom>
        <a:ln>
          <a:headEnd type="none" w="med" len="med"/>
          <a:tailEnd type="none" w="med" len="med"/>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2400" b="1" i="1" u="sng">
              <a:solidFill>
                <a:schemeClr val="accent4"/>
              </a:solidFill>
              <a:effectLst>
                <a:glow rad="63500">
                  <a:schemeClr val="accent4">
                    <a:satMod val="175000"/>
                    <a:alpha val="40000"/>
                  </a:schemeClr>
                </a:glow>
              </a:effectLst>
            </a:rPr>
            <a:t>Sales Performance Dashboard</a:t>
          </a:r>
        </a:p>
      </xdr:txBody>
    </xdr:sp>
    <xdr:clientData/>
  </xdr:twoCellAnchor>
  <xdr:oneCellAnchor>
    <xdr:from>
      <xdr:col>18</xdr:col>
      <xdr:colOff>160020</xdr:colOff>
      <xdr:row>0</xdr:row>
      <xdr:rowOff>22860</xdr:rowOff>
    </xdr:from>
    <xdr:ext cx="1935480" cy="1814599"/>
    <xdr:sp macro="" textlink="">
      <xdr:nvSpPr>
        <xdr:cNvPr id="12" name="TextBox 11">
          <a:extLst>
            <a:ext uri="{FF2B5EF4-FFF2-40B4-BE49-F238E27FC236}">
              <a16:creationId xmlns:a16="http://schemas.microsoft.com/office/drawing/2014/main" id="{CFCF8AE7-88FD-CF15-8BE9-B409243800A4}"/>
            </a:ext>
          </a:extLst>
        </xdr:cNvPr>
        <xdr:cNvSpPr txBox="1"/>
      </xdr:nvSpPr>
      <xdr:spPr>
        <a:xfrm>
          <a:off x="12131040" y="22860"/>
          <a:ext cx="1935480" cy="181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Key Insights:</a:t>
          </a:r>
        </a:p>
        <a:p>
          <a:endParaRPr lang="en-IN"/>
        </a:p>
        <a:p>
          <a:r>
            <a:rPr lang="en-IN"/>
            <a:t>==&gt;Laptop category generated highest sales </a:t>
          </a:r>
        </a:p>
        <a:p>
          <a:r>
            <a:rPr lang="en-IN"/>
            <a:t>==&gt;Consumer segment contributed most revenue </a:t>
          </a:r>
        </a:p>
        <a:p>
          <a:r>
            <a:rPr lang="en-IN"/>
            <a:t>==&gt;Michigan has highest sales </a:t>
          </a:r>
        </a:p>
        <a:p>
          <a:r>
            <a:rPr lang="en-IN"/>
            <a:t>==&gt;Standard class shipping most used</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6111.952548842593" createdVersion="8" refreshedVersion="8" minRefreshableVersion="3" recordCount="59" xr:uid="{21034A7C-0DB9-4C37-A3F6-78F76B7E0561}">
  <cacheSource type="worksheet">
    <worksheetSource name="SalesData"/>
  </cacheSource>
  <cacheFields count="13">
    <cacheField name="Order ID" numFmtId="0">
      <sharedItems/>
    </cacheField>
    <cacheField name="Ship Mode" numFmtId="0">
      <sharedItems count="4">
        <s v="First Class"/>
        <s v="Same Day"/>
        <s v="Second Class"/>
        <s v="Standard Class"/>
      </sharedItems>
    </cacheField>
    <cacheField name="Customer Name" numFmtId="0">
      <sharedItems/>
    </cacheField>
    <cacheField name="Segment" numFmtId="0">
      <sharedItems count="3">
        <s v="Consumer"/>
        <s v="Corporate"/>
        <s v="Home Office"/>
      </sharedItems>
    </cacheField>
    <cacheField name="State" numFmtId="0">
      <sharedItems count="22">
        <s v="Virginia"/>
        <s v="Indiana"/>
        <s v="California"/>
        <s v="Pennsylvania"/>
        <s v="Oregon"/>
        <s v="Texas"/>
        <s v="Oklahoma"/>
        <s v="North Carolina"/>
        <s v="New York"/>
        <s v="Washington"/>
        <s v="Rhode Island"/>
        <s v="Nevada"/>
        <s v="Arizona"/>
        <s v="Missouri"/>
        <s v="Ohio"/>
        <s v="Illinois"/>
        <s v="Tennessee"/>
        <s v="Mississippi"/>
        <s v="Michigan"/>
        <s v="Georgia"/>
        <s v="New Hampshire"/>
        <s v="Kentucky"/>
      </sharedItems>
    </cacheField>
    <cacheField name="Postal Code" numFmtId="0">
      <sharedItems containsSemiMixedTypes="0" containsString="0" containsNumber="1" containsInteger="1" minValue="2920" maxValue="98198"/>
    </cacheField>
    <cacheField name="Category" numFmtId="0">
      <sharedItems count="3">
        <s v="Laptop"/>
        <s v="Mobile"/>
        <s v="TV"/>
      </sharedItems>
    </cacheField>
    <cacheField name="Cost of Goods" numFmtId="0">
      <sharedItems containsSemiMixedTypes="0" containsString="0" containsNumber="1" minValue="2.1055999999999999" maxValue="6924.9179999999997"/>
    </cacheField>
    <cacheField name="Price" numFmtId="0">
      <sharedItems containsSemiMixedTypes="0" containsString="0" containsNumber="1" minValue="3.008" maxValue="9892.74"/>
    </cacheField>
    <cacheField name="Quantity" numFmtId="0">
      <sharedItems containsSemiMixedTypes="0" containsString="0" containsNumber="1" containsInteger="1" minValue="1" maxValue="13"/>
    </cacheField>
    <cacheField name="Sales" numFmtId="0">
      <sharedItems containsSemiMixedTypes="0" containsString="0" containsNumber="1" minValue="3.69" maxValue="128605.62"/>
    </cacheField>
    <cacheField name="Profit" numFmtId="0">
      <sharedItems containsSemiMixedTypes="0" containsString="0" containsNumber="1" minValue="1.1069999999999998" maxValue="38581.686000000002"/>
    </cacheField>
    <cacheField name="Profit Margin" numFmtId="9">
      <sharedItems containsSemiMixedTypes="0" containsString="0" containsNumber="1" minValue="0.29999999999999993" maxValue="0.3000000000000001"/>
    </cacheField>
  </cacheFields>
  <extLst>
    <ext xmlns:x14="http://schemas.microsoft.com/office/spreadsheetml/2009/9/main" uri="{725AE2AE-9491-48be-B2B4-4EB974FC3084}">
      <x14:pivotCacheDefinition pivotCacheId="817682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US-2017-108063"/>
    <x v="0"/>
    <s v="Adam Shillingsburg"/>
    <x v="0"/>
    <x v="0"/>
    <n v="22901"/>
    <x v="0"/>
    <n v="24.255000000000003"/>
    <n v="34.650000000000006"/>
    <n v="3"/>
    <n v="103.95000000000002"/>
    <n v="31.185000000000009"/>
    <n v="0.30000000000000004"/>
  </r>
  <r>
    <s v="CA-2014-103100"/>
    <x v="0"/>
    <s v="Adrian Barton"/>
    <x v="0"/>
    <x v="1"/>
    <n v="46203"/>
    <x v="0"/>
    <n v="2.5830000000000002"/>
    <n v="3.69"/>
    <n v="1"/>
    <n v="3.69"/>
    <n v="1.1069999999999998"/>
    <n v="0.29999999999999993"/>
  </r>
  <r>
    <s v="CA-2014-132913"/>
    <x v="0"/>
    <s v="Adam Shillingsburg"/>
    <x v="0"/>
    <x v="2"/>
    <n v="92037"/>
    <x v="0"/>
    <n v="9.7789999999999999"/>
    <n v="13.97"/>
    <n v="1"/>
    <n v="13.97"/>
    <n v="4.1910000000000007"/>
    <n v="0.30000000000000004"/>
  </r>
  <r>
    <s v="CA-2016-162901"/>
    <x v="0"/>
    <s v="Aaron Smayling"/>
    <x v="1"/>
    <x v="0"/>
    <n v="22204"/>
    <x v="0"/>
    <n v="21.979999999999997"/>
    <n v="31.4"/>
    <n v="2"/>
    <n v="62.8"/>
    <n v="18.840000000000003"/>
    <n v="0.30000000000000004"/>
  </r>
  <r>
    <s v="CA-2017-112004"/>
    <x v="0"/>
    <s v="Adam Hart"/>
    <x v="1"/>
    <x v="3"/>
    <n v="19013"/>
    <x v="0"/>
    <n v="6.0165000000000015"/>
    <n v="8.5950000000000024"/>
    <n v="5"/>
    <n v="42.975000000000009"/>
    <n v="12.892500000000005"/>
    <n v="0.30000000000000004"/>
  </r>
  <r>
    <s v="US-2017-147655"/>
    <x v="0"/>
    <s v="Aaron Smayling"/>
    <x v="1"/>
    <x v="4"/>
    <n v="97756"/>
    <x v="0"/>
    <n v="61.651800000000009"/>
    <n v="88.074000000000012"/>
    <n v="7"/>
    <n v="616.51800000000003"/>
    <n v="184.95540000000003"/>
    <n v="0.30000000000000004"/>
  </r>
  <r>
    <s v="US-2014-158400"/>
    <x v="0"/>
    <s v="Aaron Hawkins"/>
    <x v="1"/>
    <x v="2"/>
    <n v="94109"/>
    <x v="0"/>
    <n v="34.585599999999999"/>
    <n v="49.408000000000001"/>
    <n v="4"/>
    <n v="197.63200000000001"/>
    <n v="59.289600000000007"/>
    <n v="0.30000000000000004"/>
  </r>
  <r>
    <s v="CA-2016-145261"/>
    <x v="0"/>
    <s v="Adrian Hane"/>
    <x v="2"/>
    <x v="4"/>
    <n v="97301"/>
    <x v="0"/>
    <n v="31.668000000000006"/>
    <n v="45.240000000000009"/>
    <n v="4"/>
    <n v="180.96000000000004"/>
    <n v="54.288000000000011"/>
    <n v="0.3"/>
  </r>
  <r>
    <s v="CA-2017-118213"/>
    <x v="0"/>
    <s v="Adam Bellavance"/>
    <x v="2"/>
    <x v="1"/>
    <n v="46142"/>
    <x v="0"/>
    <n v="3.0869999999999997"/>
    <n v="4.41"/>
    <n v="1"/>
    <n v="4.41"/>
    <n v="1.3230000000000004"/>
    <n v="0.3000000000000001"/>
  </r>
  <r>
    <s v="CA-2017-126788"/>
    <x v="0"/>
    <s v="Adrian Barton"/>
    <x v="0"/>
    <x v="5"/>
    <n v="77581"/>
    <x v="1"/>
    <n v="329.2632000000001"/>
    <n v="470.37600000000009"/>
    <n v="3"/>
    <n v="1411.1280000000002"/>
    <n v="423.33839999999998"/>
    <n v="0.29999999999999993"/>
  </r>
  <r>
    <s v="CA-2017-136448"/>
    <x v="0"/>
    <s v="Adam Shillingsburg"/>
    <x v="0"/>
    <x v="3"/>
    <n v="19143"/>
    <x v="1"/>
    <n v="50.383200000000002"/>
    <n v="71.975999999999999"/>
    <n v="3"/>
    <n v="215.928"/>
    <n v="64.778399999999991"/>
    <n v="0.29999999999999993"/>
  </r>
  <r>
    <s v="CA-2017-121643"/>
    <x v="0"/>
    <s v="Adrian Barton"/>
    <x v="0"/>
    <x v="4"/>
    <n v="97206"/>
    <x v="1"/>
    <n v="241.2928"/>
    <n v="344.70400000000001"/>
    <n v="2"/>
    <n v="689.40800000000002"/>
    <n v="206.82240000000002"/>
    <n v="0.3"/>
  </r>
  <r>
    <s v="CA-2016-140935"/>
    <x v="0"/>
    <s v="Aaron Bergman"/>
    <x v="0"/>
    <x v="6"/>
    <n v="73120"/>
    <x v="1"/>
    <n v="155.386"/>
    <n v="221.98"/>
    <n v="2"/>
    <n v="443.96"/>
    <n v="133.18799999999999"/>
    <n v="0.3"/>
  </r>
  <r>
    <s v="CA-2017-113481"/>
    <x v="0"/>
    <s v="Aaron Smayling"/>
    <x v="1"/>
    <x v="7"/>
    <n v="28540"/>
    <x v="1"/>
    <n v="486.99"/>
    <n v="695.7"/>
    <n v="2"/>
    <n v="1391.4"/>
    <n v="417.42000000000007"/>
    <n v="0.30000000000000004"/>
  </r>
  <r>
    <s v="CA-2014-157644"/>
    <x v="0"/>
    <s v="Aaron Hawkins"/>
    <x v="1"/>
    <x v="8"/>
    <n v="10035"/>
    <x v="1"/>
    <n v="24.338999999999999"/>
    <n v="34.769999999999996"/>
    <n v="3"/>
    <n v="104.30999999999999"/>
    <n v="31.292999999999992"/>
    <n v="0.29999999999999993"/>
  </r>
  <r>
    <s v="CA-2016-129714"/>
    <x v="0"/>
    <s v="Adam Bellavance"/>
    <x v="2"/>
    <x v="8"/>
    <n v="10009"/>
    <x v="1"/>
    <n v="4.7530000000000001"/>
    <n v="6.79"/>
    <n v="1"/>
    <n v="6.79"/>
    <n v="2.0369999999999999"/>
    <n v="0.3"/>
  </r>
  <r>
    <s v="CA-2014-156587"/>
    <x v="0"/>
    <s v="Aaron Bergman"/>
    <x v="0"/>
    <x v="9"/>
    <n v="98103"/>
    <x v="2"/>
    <n v="34.098399999999998"/>
    <n v="48.712000000000003"/>
    <n v="1"/>
    <n v="48.712000000000003"/>
    <n v="14.613600000000005"/>
    <n v="0.3000000000000001"/>
  </r>
  <r>
    <s v="CA-2017-125451"/>
    <x v="0"/>
    <s v="Adam Hart"/>
    <x v="1"/>
    <x v="10"/>
    <n v="2920"/>
    <x v="2"/>
    <n v="168.52080000000001"/>
    <n v="240.744"/>
    <n v="4"/>
    <n v="962.976"/>
    <n v="288.89279999999997"/>
    <n v="0.3"/>
  </r>
  <r>
    <s v="CA-2017-118857"/>
    <x v="0"/>
    <s v="Adam Hart"/>
    <x v="1"/>
    <x v="11"/>
    <n v="89015"/>
    <x v="2"/>
    <n v="137.51499999999999"/>
    <n v="196.45"/>
    <n v="5"/>
    <n v="982.25"/>
    <n v="294.67500000000001"/>
    <n v="0.3"/>
  </r>
  <r>
    <s v="CA-2016-148747"/>
    <x v="0"/>
    <s v="Aaron Smayling"/>
    <x v="1"/>
    <x v="2"/>
    <n v="94110"/>
    <x v="2"/>
    <n v="334.36619999999999"/>
    <n v="477.666"/>
    <n v="2"/>
    <n v="955.33199999999999"/>
    <n v="286.59960000000001"/>
    <n v="0.3"/>
  </r>
  <r>
    <s v="CA-2016-144015"/>
    <x v="1"/>
    <s v="Adam Hart"/>
    <x v="1"/>
    <x v="2"/>
    <n v="90036"/>
    <x v="0"/>
    <n v="162.20400000000001"/>
    <n v="231.72"/>
    <n v="2"/>
    <n v="463.44"/>
    <n v="139.03199999999998"/>
    <n v="0.3"/>
  </r>
  <r>
    <s v="CA-2014-123295"/>
    <x v="1"/>
    <s v="Adrian Hane"/>
    <x v="2"/>
    <x v="12"/>
    <n v="85705"/>
    <x v="2"/>
    <n v="181.39520000000002"/>
    <n v="259.13600000000002"/>
    <n v="4"/>
    <n v="1036.5440000000001"/>
    <n v="310.96320000000003"/>
    <n v="0.3"/>
  </r>
  <r>
    <s v="CA-2017-145877"/>
    <x v="2"/>
    <s v="Adam Shillingsburg"/>
    <x v="0"/>
    <x v="13"/>
    <n v="65807"/>
    <x v="0"/>
    <n v="65.94"/>
    <n v="94.199999999999989"/>
    <n v="6"/>
    <n v="565.19999999999993"/>
    <n v="169.55999999999995"/>
    <n v="0.29999999999999993"/>
  </r>
  <r>
    <s v="CA-2015-161795"/>
    <x v="2"/>
    <s v="Adam Hart"/>
    <x v="1"/>
    <x v="14"/>
    <n v="43229"/>
    <x v="0"/>
    <n v="2.1055999999999999"/>
    <n v="3.008"/>
    <n v="2"/>
    <n v="6.016"/>
    <n v="1.8048000000000002"/>
    <n v="0.30000000000000004"/>
  </r>
  <r>
    <s v="CA-2014-122070"/>
    <x v="2"/>
    <s v="Aaron Hawkins"/>
    <x v="1"/>
    <x v="8"/>
    <n v="12180"/>
    <x v="0"/>
    <n v="173.488"/>
    <n v="247.84"/>
    <n v="8"/>
    <n v="1982.72"/>
    <n v="594.81600000000003"/>
    <n v="0.3"/>
  </r>
  <r>
    <s v="CA-2016-135594"/>
    <x v="2"/>
    <s v="Adrian Hane"/>
    <x v="2"/>
    <x v="15"/>
    <n v="60505"/>
    <x v="1"/>
    <n v="35.084000000000003"/>
    <n v="50.120000000000005"/>
    <n v="7"/>
    <n v="350.84000000000003"/>
    <n v="105.25200000000001"/>
    <n v="0.3"/>
  </r>
  <r>
    <s v="CA-2017-145702"/>
    <x v="2"/>
    <s v="Adam Hart"/>
    <x v="1"/>
    <x v="16"/>
    <n v="37918"/>
    <x v="2"/>
    <n v="220.04639999999998"/>
    <n v="314.35199999999998"/>
    <n v="3"/>
    <n v="943.05599999999993"/>
    <n v="282.91679999999997"/>
    <n v="0.3"/>
  </r>
  <r>
    <s v="CA-2016-162747"/>
    <x v="2"/>
    <s v="Aaron Hawkins"/>
    <x v="1"/>
    <x v="17"/>
    <n v="39503"/>
    <x v="2"/>
    <n v="60.515000000000001"/>
    <n v="86.45"/>
    <n v="7"/>
    <n v="605.15"/>
    <n v="181.54500000000002"/>
    <n v="0.30000000000000004"/>
  </r>
  <r>
    <s v="CA-2014-152905"/>
    <x v="3"/>
    <s v="Aaron Bergman"/>
    <x v="0"/>
    <x v="5"/>
    <n v="76017"/>
    <x v="0"/>
    <n v="8.8368000000000002"/>
    <n v="12.624000000000001"/>
    <n v="2"/>
    <n v="25.248000000000001"/>
    <n v="7.5744000000000007"/>
    <n v="0.3"/>
  </r>
  <r>
    <s v="CA-2016-104311"/>
    <x v="3"/>
    <s v="Adam Shillingsburg"/>
    <x v="0"/>
    <x v="5"/>
    <n v="75061"/>
    <x v="0"/>
    <n v="13.255199999999999"/>
    <n v="18.936"/>
    <n v="3"/>
    <n v="56.808"/>
    <n v="17.042400000000004"/>
    <n v="0.3000000000000001"/>
  </r>
  <r>
    <s v="CA-2015-163181"/>
    <x v="3"/>
    <s v="Adrian Barton"/>
    <x v="0"/>
    <x v="5"/>
    <n v="77041"/>
    <x v="0"/>
    <n v="16.548000000000002"/>
    <n v="23.64"/>
    <n v="3"/>
    <n v="70.92"/>
    <n v="21.275999999999996"/>
    <n v="0.29999999999999993"/>
  </r>
  <r>
    <s v="CA-2016-119865"/>
    <x v="3"/>
    <s v="Adam Shillingsburg"/>
    <x v="0"/>
    <x v="8"/>
    <n v="10011"/>
    <x v="0"/>
    <n v="25.591999999999999"/>
    <n v="36.56"/>
    <n v="5"/>
    <n v="182.8"/>
    <n v="54.840000000000018"/>
    <n v="0.3000000000000001"/>
  </r>
  <r>
    <s v="CA-2016-147431"/>
    <x v="3"/>
    <s v="Adrian Barton"/>
    <x v="0"/>
    <x v="8"/>
    <n v="10011"/>
    <x v="0"/>
    <n v="82.572000000000003"/>
    <n v="117.96"/>
    <n v="2"/>
    <n v="235.92"/>
    <n v="70.775999999999982"/>
    <n v="0.29999999999999993"/>
  </r>
  <r>
    <s v="CA-2015-127509"/>
    <x v="3"/>
    <s v="Adam Shillingsburg"/>
    <x v="0"/>
    <x v="13"/>
    <n v="65807"/>
    <x v="0"/>
    <n v="12.053999999999998"/>
    <n v="17.22"/>
    <n v="3"/>
    <n v="51.66"/>
    <n v="15.498000000000001"/>
    <n v="0.30000000000000004"/>
  </r>
  <r>
    <s v="CA-2016-117121"/>
    <x v="3"/>
    <s v="Adrian Barton"/>
    <x v="0"/>
    <x v="18"/>
    <n v="48205"/>
    <x v="0"/>
    <n v="6924.9179999999997"/>
    <n v="9892.74"/>
    <n v="13"/>
    <n v="128605.62"/>
    <n v="38581.686000000002"/>
    <n v="0.30000000000000004"/>
  </r>
  <r>
    <s v="CA-2016-150007"/>
    <x v="3"/>
    <s v="Adam Shillingsburg"/>
    <x v="0"/>
    <x v="15"/>
    <n v="60653"/>
    <x v="0"/>
    <n v="4.2"/>
    <n v="6"/>
    <n v="2"/>
    <n v="12"/>
    <n v="3.5999999999999996"/>
    <n v="0.3"/>
  </r>
  <r>
    <s v="CA-2017-153822"/>
    <x v="3"/>
    <s v="Adrian Barton"/>
    <x v="0"/>
    <x v="12"/>
    <n v="85023"/>
    <x v="0"/>
    <n v="8.8368000000000002"/>
    <n v="12.624000000000001"/>
    <n v="2"/>
    <n v="25.248000000000001"/>
    <n v="7.5744000000000007"/>
    <n v="0.3"/>
  </r>
  <r>
    <s v="CA-2016-147109"/>
    <x v="3"/>
    <s v="Adam Hart"/>
    <x v="1"/>
    <x v="5"/>
    <n v="76017"/>
    <x v="0"/>
    <n v="36.288000000000011"/>
    <n v="51.840000000000011"/>
    <n v="10"/>
    <n v="518.40000000000009"/>
    <n v="155.51999999999998"/>
    <n v="0.29999999999999993"/>
  </r>
  <r>
    <s v="CA-2017-164000"/>
    <x v="3"/>
    <s v="Aaron Hawkins"/>
    <x v="1"/>
    <x v="3"/>
    <n v="19134"/>
    <x v="0"/>
    <n v="13.0928"/>
    <n v="18.704000000000001"/>
    <n v="7"/>
    <n v="130.928"/>
    <n v="39.278400000000005"/>
    <n v="0.30000000000000004"/>
  </r>
  <r>
    <s v="US-2014-150126"/>
    <x v="3"/>
    <s v="Aaron Smayling"/>
    <x v="1"/>
    <x v="8"/>
    <n v="10035"/>
    <x v="0"/>
    <n v="46.045999999999999"/>
    <n v="65.78"/>
    <n v="11"/>
    <n v="723.58"/>
    <n v="217.07400000000001"/>
    <n v="0.3"/>
  </r>
  <r>
    <s v="CA-2016-149797"/>
    <x v="3"/>
    <s v="Adam Hart"/>
    <x v="1"/>
    <x v="8"/>
    <n v="10011"/>
    <x v="0"/>
    <n v="589.09760000000006"/>
    <n v="841.5680000000001"/>
    <n v="2"/>
    <n v="1683.1360000000002"/>
    <n v="504.94080000000008"/>
    <n v="0.3"/>
  </r>
  <r>
    <s v="CA-2017-165029"/>
    <x v="3"/>
    <s v="Adam Hart"/>
    <x v="1"/>
    <x v="19"/>
    <n v="30318"/>
    <x v="0"/>
    <n v="8.9879999999999995"/>
    <n v="12.84"/>
    <n v="3"/>
    <n v="38.519999999999996"/>
    <n v="11.556000000000001"/>
    <n v="0.30000000000000004"/>
  </r>
  <r>
    <s v="CA-2015-130113"/>
    <x v="3"/>
    <s v="Aaron Hawkins"/>
    <x v="1"/>
    <x v="2"/>
    <n v="94122"/>
    <x v="0"/>
    <n v="226.17000000000002"/>
    <n v="323.10000000000002"/>
    <n v="2"/>
    <n v="646.20000000000005"/>
    <n v="193.86"/>
    <n v="0.3"/>
  </r>
  <r>
    <s v="CA-2014-160066"/>
    <x v="3"/>
    <s v="Adam Hart"/>
    <x v="1"/>
    <x v="2"/>
    <n v="92646"/>
    <x v="0"/>
    <n v="3.6539999999999999"/>
    <n v="5.22"/>
    <n v="2"/>
    <n v="10.44"/>
    <n v="3.1319999999999997"/>
    <n v="0.3"/>
  </r>
  <r>
    <s v="CA-2015-150511"/>
    <x v="3"/>
    <s v="Adam Bellavance"/>
    <x v="2"/>
    <x v="9"/>
    <n v="98198"/>
    <x v="0"/>
    <n v="12.978"/>
    <n v="18.54"/>
    <n v="2"/>
    <n v="37.08"/>
    <n v="11.123999999999999"/>
    <n v="0.3"/>
  </r>
  <r>
    <s v="CA-2017-134173"/>
    <x v="3"/>
    <s v="Adam Bellavance"/>
    <x v="2"/>
    <x v="3"/>
    <n v="19143"/>
    <x v="0"/>
    <n v="14.515200000000004"/>
    <n v="20.736000000000004"/>
    <n v="4"/>
    <n v="82.944000000000017"/>
    <n v="24.883200000000002"/>
    <n v="0.3"/>
  </r>
  <r>
    <s v="CA-2016-161207"/>
    <x v="3"/>
    <s v="Adam Bellavance"/>
    <x v="2"/>
    <x v="20"/>
    <n v="3301"/>
    <x v="0"/>
    <n v="19.551000000000002"/>
    <n v="27.93"/>
    <n v="3"/>
    <n v="83.789999999999992"/>
    <n v="25.136999999999993"/>
    <n v="0.29999999999999993"/>
  </r>
  <r>
    <s v="CA-2017-151211"/>
    <x v="3"/>
    <s v="Adrian Hane"/>
    <x v="2"/>
    <x v="21"/>
    <n v="40214"/>
    <x v="0"/>
    <n v="72.051000000000002"/>
    <n v="102.93"/>
    <n v="3"/>
    <n v="308.79000000000002"/>
    <n v="92.637000000000015"/>
    <n v="0.30000000000000004"/>
  </r>
  <r>
    <s v="CA-2017-150987"/>
    <x v="3"/>
    <s v="Adrian Hane"/>
    <x v="2"/>
    <x v="2"/>
    <n v="94110"/>
    <x v="0"/>
    <n v="171.185"/>
    <n v="244.54999999999998"/>
    <n v="5"/>
    <n v="1222.75"/>
    <n v="366.82499999999993"/>
    <n v="0.29999999999999993"/>
  </r>
  <r>
    <s v="CA-2017-140781"/>
    <x v="3"/>
    <s v="Adrian Barton"/>
    <x v="0"/>
    <x v="15"/>
    <n v="61701"/>
    <x v="1"/>
    <n v="27.871200000000002"/>
    <n v="39.816000000000003"/>
    <n v="3"/>
    <n v="119.44800000000001"/>
    <n v="35.834400000000002"/>
    <n v="0.3"/>
  </r>
  <r>
    <s v="CA-2017-162691"/>
    <x v="3"/>
    <s v="Aaron Smayling"/>
    <x v="1"/>
    <x v="5"/>
    <n v="78745"/>
    <x v="1"/>
    <n v="1007.9874"/>
    <n v="1439.982"/>
    <n v="3"/>
    <n v="4319.9459999999999"/>
    <n v="1295.9838"/>
    <n v="0.3"/>
  </r>
  <r>
    <s v="CA-2017-159688"/>
    <x v="3"/>
    <s v="Adam Bellavance"/>
    <x v="2"/>
    <x v="2"/>
    <n v="90004"/>
    <x v="1"/>
    <n v="55.992999999999995"/>
    <n v="79.989999999999995"/>
    <n v="1"/>
    <n v="79.989999999999995"/>
    <n v="23.997"/>
    <n v="0.30000000000000004"/>
  </r>
  <r>
    <s v="CA-2014-156160"/>
    <x v="3"/>
    <s v="Adam Shillingsburg"/>
    <x v="0"/>
    <x v="8"/>
    <n v="10035"/>
    <x v="2"/>
    <n v="68.207999999999998"/>
    <n v="97.44"/>
    <n v="3"/>
    <n v="292.32"/>
    <n v="87.695999999999998"/>
    <n v="0.3"/>
  </r>
  <r>
    <s v="CA-2017-101042"/>
    <x v="3"/>
    <s v="Adrian Barton"/>
    <x v="0"/>
    <x v="21"/>
    <n v="42420"/>
    <x v="2"/>
    <n v="575.31599999999992"/>
    <n v="821.87999999999988"/>
    <n v="6"/>
    <n v="4931.2799999999988"/>
    <n v="1479.3839999999998"/>
    <n v="0.30000000000000004"/>
  </r>
  <r>
    <s v="US-2016-122245"/>
    <x v="3"/>
    <s v="Adrian Barton"/>
    <x v="0"/>
    <x v="12"/>
    <n v="85023"/>
    <x v="2"/>
    <n v="275.21550000000002"/>
    <n v="393.16500000000002"/>
    <n v="3"/>
    <n v="1179.4950000000001"/>
    <n v="353.8485"/>
    <n v="0.3"/>
  </r>
  <r>
    <s v="CA-2014-113768"/>
    <x v="3"/>
    <s v="Aaron Hawkins"/>
    <x v="1"/>
    <x v="2"/>
    <n v="90004"/>
    <x v="2"/>
    <n v="195.61920000000003"/>
    <n v="279.45600000000002"/>
    <n v="6"/>
    <n v="1676.7360000000001"/>
    <n v="503.02079999999989"/>
    <n v="0.29999999999999993"/>
  </r>
  <r>
    <s v="CA-2017-101749"/>
    <x v="3"/>
    <s v="Aaron Smayling"/>
    <x v="1"/>
    <x v="2"/>
    <n v="91104"/>
    <x v="2"/>
    <n v="119.9016"/>
    <n v="171.28800000000001"/>
    <n v="3"/>
    <n v="513.86400000000003"/>
    <n v="154.15920000000003"/>
    <n v="0.30000000000000004"/>
  </r>
  <r>
    <s v="CA-2017-107174"/>
    <x v="3"/>
    <s v="Adam Bellavance"/>
    <x v="2"/>
    <x v="9"/>
    <n v="98105"/>
    <x v="2"/>
    <n v="1425.8020000000001"/>
    <n v="2036.8600000000001"/>
    <n v="7"/>
    <n v="14258.02"/>
    <n v="4277.4059999999999"/>
    <n v="0.3"/>
  </r>
  <r>
    <s v="US-2016-108637"/>
    <x v="3"/>
    <s v="Adam Bellavance"/>
    <x v="2"/>
    <x v="0"/>
    <n v="22980"/>
    <x v="2"/>
    <n v="89.515999999999991"/>
    <n v="127.88"/>
    <n v="2"/>
    <n v="255.76"/>
    <n v="76.728000000000009"/>
    <n v="0.30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C86F5-0928-49C5-AE9F-E7DE94E977A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I26" firstHeaderRow="0" firstDataRow="1" firstDataCol="1"/>
  <pivotFields count="13">
    <pivotField showAll="0"/>
    <pivotField showAll="0">
      <items count="5">
        <item x="0"/>
        <item x="1"/>
        <item x="2"/>
        <item x="3"/>
        <item t="default"/>
      </items>
    </pivotField>
    <pivotField showAll="0"/>
    <pivotField showAll="0">
      <items count="4">
        <item x="0"/>
        <item x="1"/>
        <item x="2"/>
        <item t="default"/>
      </items>
    </pivotField>
    <pivotField axis="axisRow" showAll="0" sortType="descending">
      <items count="23">
        <item x="9"/>
        <item x="0"/>
        <item x="5"/>
        <item x="16"/>
        <item x="10"/>
        <item x="3"/>
        <item x="4"/>
        <item x="6"/>
        <item x="14"/>
        <item x="7"/>
        <item x="8"/>
        <item x="20"/>
        <item x="11"/>
        <item x="13"/>
        <item x="17"/>
        <item x="18"/>
        <item x="21"/>
        <item x="1"/>
        <item x="15"/>
        <item x="19"/>
        <item x="2"/>
        <item x="12"/>
        <item t="default"/>
      </items>
    </pivotField>
    <pivotField showAll="0"/>
    <pivotField showAll="0" sortType="descending">
      <items count="4">
        <item x="0"/>
        <item x="1"/>
        <item x="2"/>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numFmtId="9"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Total Sales" fld="10" baseField="0" baseItem="0"/>
    <dataField name="Total Profit" fld="11" baseField="6" baseItem="0"/>
    <dataField name="Total Quantity" fld="9" baseField="6"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69588-7700-4D17-AE42-CFA32680004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D16" firstHeaderRow="0" firstDataRow="1" firstDataCol="1"/>
  <pivotFields count="13">
    <pivotField showAll="0"/>
    <pivotField showAll="0">
      <items count="5">
        <item x="0"/>
        <item x="1"/>
        <item x="2"/>
        <item x="3"/>
        <item t="default"/>
      </items>
    </pivotField>
    <pivotField showAll="0"/>
    <pivotField axis="axisRow" showAll="0">
      <items count="4">
        <item x="0"/>
        <item x="1"/>
        <item x="2"/>
        <item t="default"/>
      </items>
    </pivotField>
    <pivotField showAll="0">
      <items count="23">
        <item x="12"/>
        <item x="2"/>
        <item x="19"/>
        <item x="15"/>
        <item x="1"/>
        <item x="21"/>
        <item x="18"/>
        <item x="17"/>
        <item x="13"/>
        <item x="11"/>
        <item x="20"/>
        <item x="8"/>
        <item x="7"/>
        <item x="14"/>
        <item x="6"/>
        <item x="4"/>
        <item x="3"/>
        <item x="10"/>
        <item x="16"/>
        <item x="5"/>
        <item x="0"/>
        <item x="9"/>
        <item t="default"/>
      </items>
    </pivotField>
    <pivotField showAll="0"/>
    <pivotField showAll="0" sortType="descending">
      <items count="4">
        <item x="0"/>
        <item x="1"/>
        <item x="2"/>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numFmtId="9" showAll="0"/>
  </pivotFields>
  <rowFields count="1">
    <field x="3"/>
  </rowFields>
  <rowItems count="4">
    <i>
      <x/>
    </i>
    <i>
      <x v="1"/>
    </i>
    <i>
      <x v="2"/>
    </i>
    <i t="grand">
      <x/>
    </i>
  </rowItems>
  <colFields count="1">
    <field x="-2"/>
  </colFields>
  <colItems count="3">
    <i>
      <x/>
    </i>
    <i i="1">
      <x v="1"/>
    </i>
    <i i="2">
      <x v="2"/>
    </i>
  </colItems>
  <dataFields count="3">
    <dataField name="Total Profit" fld="11" baseField="6" baseItem="0"/>
    <dataField name="Total Sales" fld="10" baseField="0" baseItem="0"/>
    <dataField name="Total Quantity" fld="9" baseField="6"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84E21-F721-4B5C-9BC9-C108D809B6A5}"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0" firstDataRow="1" firstDataCol="1"/>
  <pivotFields count="13">
    <pivotField showAll="0"/>
    <pivotField showAll="0">
      <items count="5">
        <item x="0"/>
        <item x="1"/>
        <item x="2"/>
        <item x="3"/>
        <item t="default"/>
      </items>
    </pivotField>
    <pivotField showAll="0"/>
    <pivotField showAll="0">
      <items count="4">
        <item x="0"/>
        <item x="1"/>
        <item x="2"/>
        <item t="default"/>
      </items>
    </pivotField>
    <pivotField showAll="0">
      <items count="23">
        <item x="12"/>
        <item x="2"/>
        <item x="19"/>
        <item x="15"/>
        <item x="1"/>
        <item x="21"/>
        <item x="18"/>
        <item x="17"/>
        <item x="13"/>
        <item x="11"/>
        <item x="20"/>
        <item x="8"/>
        <item x="7"/>
        <item x="14"/>
        <item x="6"/>
        <item x="4"/>
        <item x="3"/>
        <item x="10"/>
        <item x="16"/>
        <item x="5"/>
        <item x="0"/>
        <item x="9"/>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numFmtId="9" showAll="0"/>
  </pivotFields>
  <rowFields count="1">
    <field x="6"/>
  </rowFields>
  <rowItems count="4">
    <i>
      <x/>
    </i>
    <i>
      <x v="2"/>
    </i>
    <i>
      <x v="1"/>
    </i>
    <i t="grand">
      <x/>
    </i>
  </rowItems>
  <colFields count="1">
    <field x="-2"/>
  </colFields>
  <colItems count="3">
    <i>
      <x/>
    </i>
    <i i="1">
      <x v="1"/>
    </i>
    <i i="2">
      <x v="2"/>
    </i>
  </colItems>
  <dataFields count="3">
    <dataField name="Total Sales" fld="10" baseField="0" baseItem="0"/>
    <dataField name="Total Profit" fld="11" baseField="6" baseItem="0"/>
    <dataField name="Total Quantity" fld="9" baseField="6"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F0B879-6B08-47ED-8C2F-94CAAB1ABBD1}" sourceName="Category">
  <pivotTables>
    <pivotTable tabId="12" name="PivotTable2"/>
    <pivotTable tabId="12" name="PivotTable3"/>
    <pivotTable tabId="12" name="PivotTable4"/>
  </pivotTables>
  <data>
    <tabular pivotCacheId="81768293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B91A8E9-44AD-4025-9DAB-F2A03F481FDB}" sourceName="State">
  <pivotTables>
    <pivotTable tabId="12" name="PivotTable2"/>
    <pivotTable tabId="12" name="PivotTable3"/>
    <pivotTable tabId="12" name="PivotTable4"/>
  </pivotTables>
  <data>
    <tabular pivotCacheId="817682937">
      <items count="22">
        <i x="12" s="1"/>
        <i x="2" s="1"/>
        <i x="19" s="1"/>
        <i x="15" s="1"/>
        <i x="1" s="1"/>
        <i x="21" s="1"/>
        <i x="18" s="1"/>
        <i x="17" s="1"/>
        <i x="13" s="1"/>
        <i x="11" s="1"/>
        <i x="20" s="1"/>
        <i x="8" s="1"/>
        <i x="7" s="1"/>
        <i x="14" s="1"/>
        <i x="6" s="1"/>
        <i x="4" s="1"/>
        <i x="3" s="1"/>
        <i x="10" s="1"/>
        <i x="16" s="1"/>
        <i x="5"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17256E9-17EB-40AA-AB21-8C54E0CC8612}" sourceName="Segment">
  <pivotTables>
    <pivotTable tabId="12" name="PivotTable2"/>
    <pivotTable tabId="12" name="PivotTable3"/>
    <pivotTable tabId="12" name="PivotTable4"/>
  </pivotTables>
  <data>
    <tabular pivotCacheId="81768293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27FDFF4-7A73-40A1-BE8C-BA8B97ADF1EB}" sourceName="Ship Mode">
  <pivotTables>
    <pivotTable tabId="12" name="PivotTable2"/>
    <pivotTable tabId="12" name="PivotTable3"/>
    <pivotTable tabId="12" name="PivotTable4"/>
  </pivotTables>
  <data>
    <tabular pivotCacheId="8176829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46A1B8-273B-4C30-AD16-F90EBEB20571}" cache="Slicer_Category" caption="Category" rowHeight="247650"/>
  <slicer name="State" xr10:uid="{6DE3E212-6243-4E1B-91A3-83177ABCA1CF}" cache="Slicer_State" caption="State" rowHeight="247650"/>
  <slicer name="Segment" xr10:uid="{94D4935A-38C6-4948-A587-F99FD3B6189A}" cache="Slicer_Segment" caption="Segment" rowHeight="247650"/>
  <slicer name="Ship Mode" xr10:uid="{B1E70A2F-1EE5-4319-A386-AF50D3132B1B}" cache="Slicer_Ship_Mode" caption="Ship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05A399-DB98-4885-B5DD-A9DCB7E43959}" name="SalesData" displayName="SalesData" ref="A1:M60" totalsRowShown="0" headerRowDxfId="0" dataDxfId="1" headerRowBorderDxfId="16" tableBorderDxfId="17" totalsRowBorderDxfId="15">
  <autoFilter ref="A1:M60" xr:uid="{A405A399-DB98-4885-B5DD-A9DCB7E43959}"/>
  <tableColumns count="13">
    <tableColumn id="1" xr3:uid="{0A9B7841-8B5F-4694-AEA0-DF9905508C44}" name="Order ID" dataDxfId="14"/>
    <tableColumn id="2" xr3:uid="{A48CADF0-E17B-4A90-A543-DCA92DA3E0CC}" name="Ship Mode" dataDxfId="13"/>
    <tableColumn id="3" xr3:uid="{336D2664-CC62-465C-9C5D-2DA56C4EC4C5}" name="Customer Name" dataDxfId="12"/>
    <tableColumn id="4" xr3:uid="{E7A5DA69-82E4-46FA-BAE3-D32F04A56D17}" name="Segment" dataDxfId="11"/>
    <tableColumn id="5" xr3:uid="{83829DD3-F836-44B5-B4E6-61F9A6805B01}" name="State" dataDxfId="10"/>
    <tableColumn id="6" xr3:uid="{1838BA93-B9DD-46DC-9D66-9D3AB82CF3CE}" name="Postal Code" dataDxfId="9"/>
    <tableColumn id="7" xr3:uid="{B28ED160-D6F7-46E5-934F-DDF4D3714D36}" name="Category" dataDxfId="8"/>
    <tableColumn id="8" xr3:uid="{22405E41-65A2-4FE5-8AEB-3232EC957EBF}" name="Cost of Goods" dataDxfId="7"/>
    <tableColumn id="9" xr3:uid="{CB200CDF-0BE3-47ED-A7ED-A8BEB9018738}" name="Price" dataDxfId="6"/>
    <tableColumn id="10" xr3:uid="{C2EEFEAE-C659-4538-A6AE-213C9B1A9A91}" name="Quantity" dataDxfId="5"/>
    <tableColumn id="11" xr3:uid="{B829980D-5B80-4F12-A497-2249C0CA2422}" name="Sales" dataDxfId="4">
      <calculatedColumnFormula>I2*J2</calculatedColumnFormula>
    </tableColumn>
    <tableColumn id="12" xr3:uid="{611C169E-2B11-4D7E-827F-CF9648A69120}" name="Profit" dataDxfId="3">
      <calculatedColumnFormula>J2*(I2-H2)</calculatedColumnFormula>
    </tableColumn>
    <tableColumn id="13" xr3:uid="{50D28401-711B-4A37-9E4F-2E93D1E4B4BD}" name="Profit Margin" dataDxfId="2" dataCellStyle="Percent">
      <calculatedColumnFormula>L2/K2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4B34-09A5-4479-88D6-275DA8CB0F71}">
  <dimension ref="A1:U60"/>
  <sheetViews>
    <sheetView workbookViewId="0">
      <selection activeCell="K3" sqref="K3"/>
    </sheetView>
  </sheetViews>
  <sheetFormatPr defaultRowHeight="14.4" x14ac:dyDescent="0.3"/>
  <cols>
    <col min="1" max="1" width="14.88671875" bestFit="1" customWidth="1"/>
    <col min="2" max="2" width="14.44140625" bestFit="1" customWidth="1"/>
    <col min="3" max="3" width="18.44140625" bestFit="1" customWidth="1"/>
    <col min="4" max="4" width="11.6640625" bestFit="1" customWidth="1"/>
    <col min="5" max="5" width="15.109375" bestFit="1" customWidth="1"/>
    <col min="6" max="6" width="12.109375" bestFit="1" customWidth="1"/>
    <col min="7" max="7" width="9.33203125" bestFit="1" customWidth="1"/>
    <col min="8" max="8" width="14" bestFit="1" customWidth="1"/>
    <col min="9" max="10" width="9" bestFit="1" customWidth="1"/>
    <col min="11" max="11" width="34.6640625" bestFit="1" customWidth="1"/>
    <col min="12" max="12" width="14.88671875" bestFit="1" customWidth="1"/>
    <col min="13" max="13" width="14.44140625" bestFit="1" customWidth="1"/>
    <col min="14" max="14" width="18.44140625" bestFit="1" customWidth="1"/>
    <col min="15" max="15" width="11.6640625" bestFit="1" customWidth="1"/>
    <col min="16" max="16" width="15.109375" bestFit="1" customWidth="1"/>
    <col min="17" max="17" width="12.109375" bestFit="1" customWidth="1"/>
    <col min="18" max="18" width="9.33203125" bestFit="1" customWidth="1"/>
    <col min="19" max="19" width="14" bestFit="1" customWidth="1"/>
    <col min="20" max="20" width="8" bestFit="1" customWidth="1"/>
    <col min="21" max="21" width="9" bestFit="1" customWidth="1"/>
  </cols>
  <sheetData>
    <row r="1" spans="1:21" ht="15.6" x14ac:dyDescent="0.3">
      <c r="A1" s="1" t="s">
        <v>0</v>
      </c>
      <c r="B1" s="1" t="s">
        <v>1</v>
      </c>
      <c r="C1" s="1" t="s">
        <v>2</v>
      </c>
      <c r="D1" s="1" t="s">
        <v>3</v>
      </c>
      <c r="E1" s="1" t="s">
        <v>4</v>
      </c>
      <c r="F1" s="1" t="s">
        <v>5</v>
      </c>
      <c r="G1" s="1" t="s">
        <v>6</v>
      </c>
      <c r="H1" s="1" t="s">
        <v>7</v>
      </c>
      <c r="I1" s="1" t="s">
        <v>8</v>
      </c>
      <c r="J1" s="1" t="s">
        <v>9</v>
      </c>
      <c r="K1" s="2" t="s">
        <v>117</v>
      </c>
      <c r="L1" s="1" t="s">
        <v>0</v>
      </c>
      <c r="M1" s="1" t="s">
        <v>1</v>
      </c>
      <c r="N1" s="1" t="s">
        <v>2</v>
      </c>
      <c r="O1" s="1" t="s">
        <v>3</v>
      </c>
      <c r="P1" s="1" t="s">
        <v>4</v>
      </c>
      <c r="Q1" s="1" t="s">
        <v>5</v>
      </c>
      <c r="R1" s="1" t="s">
        <v>6</v>
      </c>
      <c r="S1" s="1" t="s">
        <v>7</v>
      </c>
      <c r="T1" s="1" t="s">
        <v>8</v>
      </c>
      <c r="U1" s="1" t="s">
        <v>9</v>
      </c>
    </row>
    <row r="2" spans="1:21" x14ac:dyDescent="0.3">
      <c r="A2" s="2" t="s">
        <v>27</v>
      </c>
      <c r="B2" s="2" t="s">
        <v>11</v>
      </c>
      <c r="C2" s="2" t="s">
        <v>28</v>
      </c>
      <c r="D2" s="2" t="s">
        <v>13</v>
      </c>
      <c r="E2" s="2" t="s">
        <v>25</v>
      </c>
      <c r="F2" s="2">
        <v>22901</v>
      </c>
      <c r="G2" s="2" t="s">
        <v>21</v>
      </c>
      <c r="H2" s="2">
        <v>24.255000000000003</v>
      </c>
      <c r="I2" s="2">
        <v>34.650000000000006</v>
      </c>
      <c r="J2" s="2">
        <v>3</v>
      </c>
      <c r="K2" t="str">
        <f ca="1">_xlfn.FORMULATEXT(L2)</f>
        <v>=FILTER(A2:J60,G2:G60=K1,"NO DATA")</v>
      </c>
      <c r="L2" t="str" cm="1">
        <f t="array" ref="L2:U12">_xlfn._xlws.FILTER(A2:J60,G2:G60=K1,"NO DATA")</f>
        <v>CA-2017-126788</v>
      </c>
      <c r="M2" t="str">
        <v>First Class</v>
      </c>
      <c r="N2" t="str">
        <v>Adrian Barton</v>
      </c>
      <c r="O2" t="str">
        <v>Consumer</v>
      </c>
      <c r="P2" t="str">
        <v>Texas</v>
      </c>
      <c r="Q2">
        <v>77581</v>
      </c>
      <c r="R2" t="str">
        <v>Mobile</v>
      </c>
      <c r="S2">
        <v>329.2632000000001</v>
      </c>
      <c r="T2">
        <v>470.37600000000009</v>
      </c>
      <c r="U2">
        <v>3</v>
      </c>
    </row>
    <row r="3" spans="1:21" x14ac:dyDescent="0.3">
      <c r="A3" s="2" t="s">
        <v>29</v>
      </c>
      <c r="B3" s="2" t="s">
        <v>17</v>
      </c>
      <c r="C3" s="2" t="s">
        <v>12</v>
      </c>
      <c r="D3" s="2" t="s">
        <v>13</v>
      </c>
      <c r="E3" s="2" t="s">
        <v>30</v>
      </c>
      <c r="F3" s="2">
        <v>76017</v>
      </c>
      <c r="G3" s="2" t="s">
        <v>21</v>
      </c>
      <c r="H3" s="2">
        <v>8.8368000000000002</v>
      </c>
      <c r="I3" s="2">
        <v>12.624000000000001</v>
      </c>
      <c r="J3" s="2">
        <v>2</v>
      </c>
      <c r="L3" t="str">
        <v>CA-2017-136448</v>
      </c>
      <c r="M3" t="str">
        <v>First Class</v>
      </c>
      <c r="N3" t="str">
        <v>Adam Shillingsburg</v>
      </c>
      <c r="O3" t="str">
        <v>Consumer</v>
      </c>
      <c r="P3" t="str">
        <v>Pennsylvania</v>
      </c>
      <c r="Q3">
        <v>19143</v>
      </c>
      <c r="R3" t="str">
        <v>Mobile</v>
      </c>
      <c r="S3">
        <v>50.383200000000002</v>
      </c>
      <c r="T3">
        <v>71.975999999999999</v>
      </c>
      <c r="U3">
        <v>3</v>
      </c>
    </row>
    <row r="4" spans="1:21" x14ac:dyDescent="0.3">
      <c r="A4" s="2" t="s">
        <v>35</v>
      </c>
      <c r="B4" s="2" t="s">
        <v>17</v>
      </c>
      <c r="C4" s="2" t="s">
        <v>28</v>
      </c>
      <c r="D4" s="2" t="s">
        <v>13</v>
      </c>
      <c r="E4" s="2" t="s">
        <v>30</v>
      </c>
      <c r="F4" s="2">
        <v>75061</v>
      </c>
      <c r="G4" s="2" t="s">
        <v>21</v>
      </c>
      <c r="H4" s="2">
        <v>13.255199999999999</v>
      </c>
      <c r="I4" s="2">
        <v>18.936</v>
      </c>
      <c r="J4" s="2">
        <v>3</v>
      </c>
      <c r="L4" t="str">
        <v>CA-2017-121643</v>
      </c>
      <c r="M4" t="str">
        <v>First Class</v>
      </c>
      <c r="N4" t="str">
        <v>Adrian Barton</v>
      </c>
      <c r="O4" t="str">
        <v>Consumer</v>
      </c>
      <c r="P4" t="str">
        <v>Oregon</v>
      </c>
      <c r="Q4">
        <v>97206</v>
      </c>
      <c r="R4" t="str">
        <v>Mobile</v>
      </c>
      <c r="S4">
        <v>241.2928</v>
      </c>
      <c r="T4">
        <v>344.70400000000001</v>
      </c>
      <c r="U4">
        <v>2</v>
      </c>
    </row>
    <row r="5" spans="1:21" x14ac:dyDescent="0.3">
      <c r="A5" s="2" t="s">
        <v>38</v>
      </c>
      <c r="B5" s="2" t="s">
        <v>17</v>
      </c>
      <c r="C5" s="2" t="s">
        <v>37</v>
      </c>
      <c r="D5" s="2" t="s">
        <v>13</v>
      </c>
      <c r="E5" s="2" t="s">
        <v>30</v>
      </c>
      <c r="F5" s="2">
        <v>77041</v>
      </c>
      <c r="G5" s="2" t="s">
        <v>21</v>
      </c>
      <c r="H5" s="2">
        <v>16.548000000000002</v>
      </c>
      <c r="I5" s="2">
        <v>23.64</v>
      </c>
      <c r="J5" s="2">
        <v>3</v>
      </c>
      <c r="L5" s="4" t="str">
        <v>CA-2016-140935</v>
      </c>
      <c r="M5" s="4" t="str">
        <v>First Class</v>
      </c>
      <c r="N5" t="str">
        <v>Aaron Bergman</v>
      </c>
      <c r="O5" t="str">
        <v>Consumer</v>
      </c>
      <c r="P5" t="str">
        <v>Oklahoma</v>
      </c>
      <c r="Q5">
        <v>73120</v>
      </c>
      <c r="R5" t="str">
        <v>Mobile</v>
      </c>
      <c r="S5">
        <v>155.386</v>
      </c>
      <c r="T5">
        <v>221.98</v>
      </c>
      <c r="U5">
        <v>2</v>
      </c>
    </row>
    <row r="6" spans="1:21" x14ac:dyDescent="0.3">
      <c r="A6" s="2" t="s">
        <v>65</v>
      </c>
      <c r="B6" s="2" t="s">
        <v>17</v>
      </c>
      <c r="C6" s="2" t="s">
        <v>28</v>
      </c>
      <c r="D6" s="2" t="s">
        <v>13</v>
      </c>
      <c r="E6" s="3" t="s">
        <v>62</v>
      </c>
      <c r="F6" s="2">
        <v>10011</v>
      </c>
      <c r="G6" s="2" t="s">
        <v>21</v>
      </c>
      <c r="H6" s="2">
        <v>25.591999999999999</v>
      </c>
      <c r="I6" s="2">
        <v>36.56</v>
      </c>
      <c r="J6" s="2">
        <v>5</v>
      </c>
      <c r="L6" t="str">
        <v>CA-2017-140781</v>
      </c>
      <c r="M6" t="str">
        <v>Standard Class</v>
      </c>
      <c r="N6" t="str">
        <v>Adrian Barton</v>
      </c>
      <c r="O6" t="str">
        <v>Consumer</v>
      </c>
      <c r="P6" t="str">
        <v>Illinois</v>
      </c>
      <c r="Q6">
        <v>61701</v>
      </c>
      <c r="R6" t="str">
        <v>Mobile</v>
      </c>
      <c r="S6">
        <v>27.871200000000002</v>
      </c>
      <c r="T6">
        <v>39.816000000000003</v>
      </c>
      <c r="U6">
        <v>3</v>
      </c>
    </row>
    <row r="7" spans="1:21" x14ac:dyDescent="0.3">
      <c r="A7" s="2" t="s">
        <v>67</v>
      </c>
      <c r="B7" s="2" t="s">
        <v>17</v>
      </c>
      <c r="C7" s="2" t="s">
        <v>37</v>
      </c>
      <c r="D7" s="2" t="s">
        <v>13</v>
      </c>
      <c r="E7" s="3" t="s">
        <v>62</v>
      </c>
      <c r="F7" s="2">
        <v>10011</v>
      </c>
      <c r="G7" s="2" t="s">
        <v>21</v>
      </c>
      <c r="H7" s="2">
        <v>82.572000000000003</v>
      </c>
      <c r="I7" s="2">
        <v>117.96</v>
      </c>
      <c r="J7" s="2">
        <v>2</v>
      </c>
      <c r="L7" t="str">
        <v>CA-2017-162691</v>
      </c>
      <c r="M7" t="str">
        <v>Standard Class</v>
      </c>
      <c r="N7" t="str">
        <v>Aaron Smayling</v>
      </c>
      <c r="O7" t="str">
        <v>Corporate</v>
      </c>
      <c r="P7" t="str">
        <v>Texas</v>
      </c>
      <c r="Q7">
        <v>78745</v>
      </c>
      <c r="R7" t="str">
        <v>Mobile</v>
      </c>
      <c r="S7">
        <v>1007.9874</v>
      </c>
      <c r="T7">
        <v>1439.982</v>
      </c>
      <c r="U7">
        <v>3</v>
      </c>
    </row>
    <row r="8" spans="1:21" x14ac:dyDescent="0.3">
      <c r="A8" s="2" t="s">
        <v>74</v>
      </c>
      <c r="B8" s="2" t="s">
        <v>40</v>
      </c>
      <c r="C8" s="2" t="s">
        <v>28</v>
      </c>
      <c r="D8" s="2" t="s">
        <v>13</v>
      </c>
      <c r="E8" s="3" t="s">
        <v>75</v>
      </c>
      <c r="F8" s="2">
        <v>65807</v>
      </c>
      <c r="G8" s="2" t="s">
        <v>21</v>
      </c>
      <c r="H8" s="2">
        <v>65.94</v>
      </c>
      <c r="I8" s="2">
        <v>94.199999999999989</v>
      </c>
      <c r="J8" s="2">
        <v>6</v>
      </c>
      <c r="L8" t="str">
        <v>CA-2017-113481</v>
      </c>
      <c r="M8" t="str">
        <v>First Class</v>
      </c>
      <c r="N8" t="str">
        <v>Aaron Smayling</v>
      </c>
      <c r="O8" t="str">
        <v>Corporate</v>
      </c>
      <c r="P8" t="str">
        <v>North Carolina</v>
      </c>
      <c r="Q8">
        <v>28540</v>
      </c>
      <c r="R8" t="str">
        <v>Mobile</v>
      </c>
      <c r="S8">
        <v>486.99</v>
      </c>
      <c r="T8">
        <v>695.7</v>
      </c>
      <c r="U8">
        <v>2</v>
      </c>
    </row>
    <row r="9" spans="1:21" x14ac:dyDescent="0.3">
      <c r="A9" s="2" t="s">
        <v>76</v>
      </c>
      <c r="B9" s="2" t="s">
        <v>17</v>
      </c>
      <c r="C9" s="2" t="s">
        <v>28</v>
      </c>
      <c r="D9" s="2" t="s">
        <v>13</v>
      </c>
      <c r="E9" s="3" t="s">
        <v>75</v>
      </c>
      <c r="F9" s="2">
        <v>65807</v>
      </c>
      <c r="G9" s="2" t="s">
        <v>21</v>
      </c>
      <c r="H9" s="2">
        <v>12.053999999999998</v>
      </c>
      <c r="I9" s="2">
        <v>17.22</v>
      </c>
      <c r="J9" s="2">
        <v>3</v>
      </c>
      <c r="L9" t="str">
        <v>CA-2014-157644</v>
      </c>
      <c r="M9" t="str">
        <v>First Class</v>
      </c>
      <c r="N9" t="str">
        <v>Aaron Hawkins</v>
      </c>
      <c r="O9" t="str">
        <v>Corporate</v>
      </c>
      <c r="P9" t="str">
        <v>New York</v>
      </c>
      <c r="Q9">
        <v>10035</v>
      </c>
      <c r="R9" t="str">
        <v>Mobile</v>
      </c>
      <c r="S9">
        <v>24.338999999999999</v>
      </c>
      <c r="T9">
        <v>34.769999999999996</v>
      </c>
      <c r="U9">
        <v>3</v>
      </c>
    </row>
    <row r="10" spans="1:21" x14ac:dyDescent="0.3">
      <c r="A10" s="2" t="s">
        <v>79</v>
      </c>
      <c r="B10" s="2" t="s">
        <v>17</v>
      </c>
      <c r="C10" s="2" t="s">
        <v>37</v>
      </c>
      <c r="D10" s="2" t="s">
        <v>13</v>
      </c>
      <c r="E10" s="3" t="s">
        <v>80</v>
      </c>
      <c r="F10" s="2">
        <v>48205</v>
      </c>
      <c r="G10" s="2" t="s">
        <v>21</v>
      </c>
      <c r="H10" s="2">
        <v>6924.9179999999997</v>
      </c>
      <c r="I10" s="2">
        <v>9892.74</v>
      </c>
      <c r="J10" s="2">
        <v>13</v>
      </c>
      <c r="L10" t="str">
        <v>CA-2016-129714</v>
      </c>
      <c r="M10" t="str">
        <v>First Class</v>
      </c>
      <c r="N10" t="str">
        <v>Adam Bellavance</v>
      </c>
      <c r="O10" t="str">
        <v>Home Office</v>
      </c>
      <c r="P10" t="str">
        <v>New York</v>
      </c>
      <c r="Q10">
        <v>10009</v>
      </c>
      <c r="R10" t="str">
        <v>Mobile</v>
      </c>
      <c r="S10">
        <v>4.7530000000000001</v>
      </c>
      <c r="T10">
        <v>6.79</v>
      </c>
      <c r="U10">
        <v>1</v>
      </c>
    </row>
    <row r="11" spans="1:21" x14ac:dyDescent="0.3">
      <c r="A11" s="2" t="s">
        <v>86</v>
      </c>
      <c r="B11" s="2" t="s">
        <v>11</v>
      </c>
      <c r="C11" s="2" t="s">
        <v>37</v>
      </c>
      <c r="D11" s="2" t="s">
        <v>13</v>
      </c>
      <c r="E11" s="3" t="s">
        <v>85</v>
      </c>
      <c r="F11" s="2">
        <v>46203</v>
      </c>
      <c r="G11" s="2" t="s">
        <v>21</v>
      </c>
      <c r="H11" s="2">
        <v>2.5830000000000002</v>
      </c>
      <c r="I11" s="2">
        <v>3.69</v>
      </c>
      <c r="J11" s="2">
        <v>1</v>
      </c>
      <c r="L11" t="str">
        <v>CA-2016-135594</v>
      </c>
      <c r="M11" t="str">
        <v>Second Class</v>
      </c>
      <c r="N11" t="str">
        <v>Adrian Hane</v>
      </c>
      <c r="O11" t="str">
        <v>Home Office</v>
      </c>
      <c r="P11" t="str">
        <v>Illinois</v>
      </c>
      <c r="Q11">
        <v>60505</v>
      </c>
      <c r="R11" t="str">
        <v>Mobile</v>
      </c>
      <c r="S11">
        <v>35.084000000000003</v>
      </c>
      <c r="T11">
        <v>50.120000000000005</v>
      </c>
      <c r="U11">
        <v>7</v>
      </c>
    </row>
    <row r="12" spans="1:21" x14ac:dyDescent="0.3">
      <c r="A12" s="2" t="s">
        <v>87</v>
      </c>
      <c r="B12" s="2" t="s">
        <v>17</v>
      </c>
      <c r="C12" s="2" t="s">
        <v>28</v>
      </c>
      <c r="D12" s="2" t="s">
        <v>13</v>
      </c>
      <c r="E12" s="3" t="s">
        <v>88</v>
      </c>
      <c r="F12" s="2">
        <v>60653</v>
      </c>
      <c r="G12" s="2" t="s">
        <v>21</v>
      </c>
      <c r="H12" s="2">
        <v>4.2</v>
      </c>
      <c r="I12" s="2">
        <v>6</v>
      </c>
      <c r="J12" s="2">
        <v>2</v>
      </c>
      <c r="L12" t="str">
        <v>CA-2017-159688</v>
      </c>
      <c r="M12" t="str">
        <v>Standard Class</v>
      </c>
      <c r="N12" t="str">
        <v>Adam Bellavance</v>
      </c>
      <c r="O12" t="str">
        <v>Home Office</v>
      </c>
      <c r="P12" t="str">
        <v>California</v>
      </c>
      <c r="Q12">
        <v>90004</v>
      </c>
      <c r="R12" t="str">
        <v>Mobile</v>
      </c>
      <c r="S12">
        <v>55.992999999999995</v>
      </c>
      <c r="T12">
        <v>79.989999999999995</v>
      </c>
      <c r="U12">
        <v>1</v>
      </c>
    </row>
    <row r="13" spans="1:21" x14ac:dyDescent="0.3">
      <c r="A13" s="2" t="s">
        <v>103</v>
      </c>
      <c r="B13" s="2" t="s">
        <v>11</v>
      </c>
      <c r="C13" s="2" t="s">
        <v>28</v>
      </c>
      <c r="D13" s="2" t="s">
        <v>13</v>
      </c>
      <c r="E13" s="3" t="s">
        <v>94</v>
      </c>
      <c r="F13" s="2">
        <v>92037</v>
      </c>
      <c r="G13" s="2" t="s">
        <v>21</v>
      </c>
      <c r="H13" s="2">
        <v>9.7789999999999999</v>
      </c>
      <c r="I13" s="2">
        <v>13.97</v>
      </c>
      <c r="J13" s="2">
        <v>1</v>
      </c>
    </row>
    <row r="14" spans="1:21" x14ac:dyDescent="0.3">
      <c r="A14" s="2" t="s">
        <v>105</v>
      </c>
      <c r="B14" s="2" t="s">
        <v>17</v>
      </c>
      <c r="C14" s="2" t="s">
        <v>37</v>
      </c>
      <c r="D14" s="2" t="s">
        <v>13</v>
      </c>
      <c r="E14" s="2" t="s">
        <v>106</v>
      </c>
      <c r="F14" s="2">
        <v>85023</v>
      </c>
      <c r="G14" s="2" t="s">
        <v>21</v>
      </c>
      <c r="H14" s="2">
        <v>8.8368000000000002</v>
      </c>
      <c r="I14" s="2">
        <v>12.624000000000001</v>
      </c>
      <c r="J14" s="2">
        <v>2</v>
      </c>
    </row>
    <row r="15" spans="1:21" x14ac:dyDescent="0.3">
      <c r="A15" s="2" t="s">
        <v>36</v>
      </c>
      <c r="B15" s="2" t="s">
        <v>11</v>
      </c>
      <c r="C15" s="2" t="s">
        <v>37</v>
      </c>
      <c r="D15" s="2" t="s">
        <v>13</v>
      </c>
      <c r="E15" s="2" t="s">
        <v>30</v>
      </c>
      <c r="F15" s="2">
        <v>77581</v>
      </c>
      <c r="G15" s="2" t="s">
        <v>32</v>
      </c>
      <c r="H15" s="2">
        <v>329.2632000000001</v>
      </c>
      <c r="I15" s="2">
        <v>470.37600000000009</v>
      </c>
      <c r="J15" s="2">
        <v>3</v>
      </c>
    </row>
    <row r="16" spans="1:21" x14ac:dyDescent="0.3">
      <c r="A16" s="2" t="s">
        <v>49</v>
      </c>
      <c r="B16" s="2" t="s">
        <v>11</v>
      </c>
      <c r="C16" s="2" t="s">
        <v>28</v>
      </c>
      <c r="D16" s="2" t="s">
        <v>13</v>
      </c>
      <c r="E16" s="2" t="s">
        <v>46</v>
      </c>
      <c r="F16" s="2">
        <v>19143</v>
      </c>
      <c r="G16" s="2" t="s">
        <v>32</v>
      </c>
      <c r="H16" s="2">
        <v>50.383200000000002</v>
      </c>
      <c r="I16" s="2">
        <v>71.975999999999999</v>
      </c>
      <c r="J16" s="2">
        <v>3</v>
      </c>
    </row>
    <row r="17" spans="1:10" x14ac:dyDescent="0.3">
      <c r="A17" s="2" t="s">
        <v>52</v>
      </c>
      <c r="B17" s="2" t="s">
        <v>11</v>
      </c>
      <c r="C17" s="2" t="s">
        <v>37</v>
      </c>
      <c r="D17" s="2" t="s">
        <v>13</v>
      </c>
      <c r="E17" s="2" t="s">
        <v>51</v>
      </c>
      <c r="F17" s="2">
        <v>97206</v>
      </c>
      <c r="G17" s="2" t="s">
        <v>32</v>
      </c>
      <c r="H17" s="2">
        <v>241.2928</v>
      </c>
      <c r="I17" s="2">
        <v>344.70400000000001</v>
      </c>
      <c r="J17" s="2">
        <v>2</v>
      </c>
    </row>
    <row r="18" spans="1:10" x14ac:dyDescent="0.3">
      <c r="A18" s="2" t="s">
        <v>55</v>
      </c>
      <c r="B18" s="2" t="s">
        <v>11</v>
      </c>
      <c r="C18" s="2" t="s">
        <v>12</v>
      </c>
      <c r="D18" s="2" t="s">
        <v>13</v>
      </c>
      <c r="E18" s="2" t="s">
        <v>56</v>
      </c>
      <c r="F18" s="2">
        <v>73120</v>
      </c>
      <c r="G18" s="2" t="s">
        <v>32</v>
      </c>
      <c r="H18" s="2">
        <v>155.386</v>
      </c>
      <c r="I18" s="2">
        <v>221.98</v>
      </c>
      <c r="J18" s="2">
        <v>2</v>
      </c>
    </row>
    <row r="19" spans="1:10" x14ac:dyDescent="0.3">
      <c r="A19" s="2" t="s">
        <v>89</v>
      </c>
      <c r="B19" s="2" t="s">
        <v>17</v>
      </c>
      <c r="C19" s="2" t="s">
        <v>37</v>
      </c>
      <c r="D19" s="2" t="s">
        <v>13</v>
      </c>
      <c r="E19" s="3" t="s">
        <v>88</v>
      </c>
      <c r="F19" s="2">
        <v>61701</v>
      </c>
      <c r="G19" s="2" t="s">
        <v>32</v>
      </c>
      <c r="H19" s="2">
        <v>27.871200000000002</v>
      </c>
      <c r="I19" s="2">
        <v>39.816000000000003</v>
      </c>
      <c r="J19" s="2">
        <v>3</v>
      </c>
    </row>
    <row r="20" spans="1:10" x14ac:dyDescent="0.3">
      <c r="A20" s="2" t="s">
        <v>10</v>
      </c>
      <c r="B20" s="2" t="s">
        <v>11</v>
      </c>
      <c r="C20" s="2" t="s">
        <v>12</v>
      </c>
      <c r="D20" s="2" t="s">
        <v>13</v>
      </c>
      <c r="E20" s="2" t="s">
        <v>14</v>
      </c>
      <c r="F20" s="2">
        <v>98103</v>
      </c>
      <c r="G20" s="2" t="s">
        <v>15</v>
      </c>
      <c r="H20" s="2">
        <v>34.098399999999998</v>
      </c>
      <c r="I20" s="2">
        <v>48.712000000000003</v>
      </c>
      <c r="J20" s="2">
        <v>1</v>
      </c>
    </row>
    <row r="21" spans="1:10" x14ac:dyDescent="0.3">
      <c r="A21" s="2" t="s">
        <v>66</v>
      </c>
      <c r="B21" s="2" t="s">
        <v>17</v>
      </c>
      <c r="C21" s="2" t="s">
        <v>28</v>
      </c>
      <c r="D21" s="2" t="s">
        <v>13</v>
      </c>
      <c r="E21" s="3" t="s">
        <v>62</v>
      </c>
      <c r="F21" s="2">
        <v>10035</v>
      </c>
      <c r="G21" s="2" t="s">
        <v>15</v>
      </c>
      <c r="H21" s="2">
        <v>68.207999999999998</v>
      </c>
      <c r="I21" s="2">
        <v>97.44</v>
      </c>
      <c r="J21" s="2">
        <v>3</v>
      </c>
    </row>
    <row r="22" spans="1:10" x14ac:dyDescent="0.3">
      <c r="A22" s="2" t="s">
        <v>81</v>
      </c>
      <c r="B22" s="2" t="s">
        <v>17</v>
      </c>
      <c r="C22" s="2" t="s">
        <v>37</v>
      </c>
      <c r="D22" s="2" t="s">
        <v>13</v>
      </c>
      <c r="E22" s="3" t="s">
        <v>82</v>
      </c>
      <c r="F22" s="2">
        <v>42420</v>
      </c>
      <c r="G22" s="2" t="s">
        <v>15</v>
      </c>
      <c r="H22" s="2">
        <v>575.31599999999992</v>
      </c>
      <c r="I22" s="2">
        <v>821.87999999999988</v>
      </c>
      <c r="J22" s="2">
        <v>6</v>
      </c>
    </row>
    <row r="23" spans="1:10" x14ac:dyDescent="0.3">
      <c r="A23" s="2" t="s">
        <v>107</v>
      </c>
      <c r="B23" s="2" t="s">
        <v>17</v>
      </c>
      <c r="C23" s="2" t="s">
        <v>37</v>
      </c>
      <c r="D23" s="2" t="s">
        <v>13</v>
      </c>
      <c r="E23" s="2" t="s">
        <v>106</v>
      </c>
      <c r="F23" s="2">
        <v>85023</v>
      </c>
      <c r="G23" s="2" t="s">
        <v>15</v>
      </c>
      <c r="H23" s="2">
        <v>275.21550000000002</v>
      </c>
      <c r="I23" s="2">
        <v>393.16500000000002</v>
      </c>
      <c r="J23" s="2">
        <v>3</v>
      </c>
    </row>
    <row r="24" spans="1:10" x14ac:dyDescent="0.3">
      <c r="A24" s="2" t="s">
        <v>22</v>
      </c>
      <c r="B24" s="2" t="s">
        <v>11</v>
      </c>
      <c r="C24" s="2" t="s">
        <v>23</v>
      </c>
      <c r="D24" s="2" t="s">
        <v>24</v>
      </c>
      <c r="E24" s="2" t="s">
        <v>25</v>
      </c>
      <c r="F24" s="2">
        <v>22204</v>
      </c>
      <c r="G24" s="2" t="s">
        <v>21</v>
      </c>
      <c r="H24" s="2">
        <v>21.979999999999997</v>
      </c>
      <c r="I24" s="2">
        <v>31.4</v>
      </c>
      <c r="J24" s="2">
        <v>2</v>
      </c>
    </row>
    <row r="25" spans="1:10" x14ac:dyDescent="0.3">
      <c r="A25" s="2" t="s">
        <v>33</v>
      </c>
      <c r="B25" s="2" t="s">
        <v>17</v>
      </c>
      <c r="C25" s="2" t="s">
        <v>34</v>
      </c>
      <c r="D25" s="2" t="s">
        <v>24</v>
      </c>
      <c r="E25" s="2" t="s">
        <v>30</v>
      </c>
      <c r="F25" s="2">
        <v>76017</v>
      </c>
      <c r="G25" s="2" t="s">
        <v>21</v>
      </c>
      <c r="H25" s="2">
        <v>36.288000000000011</v>
      </c>
      <c r="I25" s="2">
        <v>51.840000000000011</v>
      </c>
      <c r="J25" s="2">
        <v>10</v>
      </c>
    </row>
    <row r="26" spans="1:10" x14ac:dyDescent="0.3">
      <c r="A26" s="2" t="s">
        <v>44</v>
      </c>
      <c r="B26" s="2" t="s">
        <v>17</v>
      </c>
      <c r="C26" s="2" t="s">
        <v>45</v>
      </c>
      <c r="D26" s="2" t="s">
        <v>24</v>
      </c>
      <c r="E26" s="2" t="s">
        <v>46</v>
      </c>
      <c r="F26" s="2">
        <v>19134</v>
      </c>
      <c r="G26" s="2" t="s">
        <v>21</v>
      </c>
      <c r="H26" s="2">
        <v>13.0928</v>
      </c>
      <c r="I26" s="2">
        <v>18.704000000000001</v>
      </c>
      <c r="J26" s="2">
        <v>7</v>
      </c>
    </row>
    <row r="27" spans="1:10" x14ac:dyDescent="0.3">
      <c r="A27" s="2" t="s">
        <v>48</v>
      </c>
      <c r="B27" s="2" t="s">
        <v>11</v>
      </c>
      <c r="C27" s="2" t="s">
        <v>34</v>
      </c>
      <c r="D27" s="2" t="s">
        <v>24</v>
      </c>
      <c r="E27" s="2" t="s">
        <v>46</v>
      </c>
      <c r="F27" s="2">
        <v>19013</v>
      </c>
      <c r="G27" s="2" t="s">
        <v>21</v>
      </c>
      <c r="H27" s="2">
        <v>6.0165000000000015</v>
      </c>
      <c r="I27" s="2">
        <v>8.5950000000000024</v>
      </c>
      <c r="J27" s="2">
        <v>5</v>
      </c>
    </row>
    <row r="28" spans="1:10" x14ac:dyDescent="0.3">
      <c r="A28" s="2" t="s">
        <v>50</v>
      </c>
      <c r="B28" s="2" t="s">
        <v>11</v>
      </c>
      <c r="C28" s="2" t="s">
        <v>23</v>
      </c>
      <c r="D28" s="2" t="s">
        <v>24</v>
      </c>
      <c r="E28" s="2" t="s">
        <v>51</v>
      </c>
      <c r="F28" s="2">
        <v>97756</v>
      </c>
      <c r="G28" s="2" t="s">
        <v>21</v>
      </c>
      <c r="H28" s="2">
        <v>61.651800000000009</v>
      </c>
      <c r="I28" s="2">
        <v>88.074000000000012</v>
      </c>
      <c r="J28" s="2">
        <v>7</v>
      </c>
    </row>
    <row r="29" spans="1:10" x14ac:dyDescent="0.3">
      <c r="A29" s="2" t="s">
        <v>57</v>
      </c>
      <c r="B29" s="2" t="s">
        <v>40</v>
      </c>
      <c r="C29" s="2" t="s">
        <v>34</v>
      </c>
      <c r="D29" s="2" t="s">
        <v>24</v>
      </c>
      <c r="E29" s="2" t="s">
        <v>58</v>
      </c>
      <c r="F29" s="2">
        <v>43229</v>
      </c>
      <c r="G29" s="2" t="s">
        <v>21</v>
      </c>
      <c r="H29" s="2">
        <v>2.1055999999999999</v>
      </c>
      <c r="I29" s="2">
        <v>3.008</v>
      </c>
      <c r="J29" s="2">
        <v>2</v>
      </c>
    </row>
    <row r="30" spans="1:10" x14ac:dyDescent="0.3">
      <c r="A30" s="2" t="s">
        <v>61</v>
      </c>
      <c r="B30" s="2" t="s">
        <v>17</v>
      </c>
      <c r="C30" s="2" t="s">
        <v>23</v>
      </c>
      <c r="D30" s="2" t="s">
        <v>24</v>
      </c>
      <c r="E30" s="3" t="s">
        <v>62</v>
      </c>
      <c r="F30" s="2">
        <v>10035</v>
      </c>
      <c r="G30" s="2" t="s">
        <v>21</v>
      </c>
      <c r="H30" s="2">
        <v>46.045999999999999</v>
      </c>
      <c r="I30" s="2">
        <v>65.78</v>
      </c>
      <c r="J30" s="2">
        <v>11</v>
      </c>
    </row>
    <row r="31" spans="1:10" x14ac:dyDescent="0.3">
      <c r="A31" s="2" t="s">
        <v>64</v>
      </c>
      <c r="B31" s="2" t="s">
        <v>17</v>
      </c>
      <c r="C31" s="2" t="s">
        <v>34</v>
      </c>
      <c r="D31" s="2" t="s">
        <v>24</v>
      </c>
      <c r="E31" s="3" t="s">
        <v>62</v>
      </c>
      <c r="F31" s="2">
        <v>10011</v>
      </c>
      <c r="G31" s="2" t="s">
        <v>21</v>
      </c>
      <c r="H31" s="2">
        <v>589.09760000000006</v>
      </c>
      <c r="I31" s="2">
        <v>841.5680000000001</v>
      </c>
      <c r="J31" s="2">
        <v>2</v>
      </c>
    </row>
    <row r="32" spans="1:10" x14ac:dyDescent="0.3">
      <c r="A32" s="2" t="s">
        <v>69</v>
      </c>
      <c r="B32" s="2" t="s">
        <v>40</v>
      </c>
      <c r="C32" s="2" t="s">
        <v>45</v>
      </c>
      <c r="D32" s="2" t="s">
        <v>24</v>
      </c>
      <c r="E32" s="2" t="s">
        <v>62</v>
      </c>
      <c r="F32" s="2">
        <v>12180</v>
      </c>
      <c r="G32" s="2" t="s">
        <v>21</v>
      </c>
      <c r="H32" s="2">
        <v>173.488</v>
      </c>
      <c r="I32" s="2">
        <v>247.84</v>
      </c>
      <c r="J32" s="2">
        <v>8</v>
      </c>
    </row>
    <row r="33" spans="1:10" x14ac:dyDescent="0.3">
      <c r="A33" s="2" t="s">
        <v>91</v>
      </c>
      <c r="B33" s="2" t="s">
        <v>17</v>
      </c>
      <c r="C33" s="2" t="s">
        <v>34</v>
      </c>
      <c r="D33" s="2" t="s">
        <v>24</v>
      </c>
      <c r="E33" s="3" t="s">
        <v>92</v>
      </c>
      <c r="F33" s="2">
        <v>30318</v>
      </c>
      <c r="G33" s="2" t="s">
        <v>21</v>
      </c>
      <c r="H33" s="2">
        <v>8.9879999999999995</v>
      </c>
      <c r="I33" s="2">
        <v>12.84</v>
      </c>
      <c r="J33" s="2">
        <v>3</v>
      </c>
    </row>
    <row r="34" spans="1:10" x14ac:dyDescent="0.3">
      <c r="A34" s="2" t="s">
        <v>93</v>
      </c>
      <c r="B34" s="2" t="s">
        <v>17</v>
      </c>
      <c r="C34" s="2" t="s">
        <v>45</v>
      </c>
      <c r="D34" s="2" t="s">
        <v>24</v>
      </c>
      <c r="E34" s="3" t="s">
        <v>94</v>
      </c>
      <c r="F34" s="2">
        <v>94122</v>
      </c>
      <c r="G34" s="2" t="s">
        <v>21</v>
      </c>
      <c r="H34" s="2">
        <v>226.17000000000002</v>
      </c>
      <c r="I34" s="2">
        <v>323.10000000000002</v>
      </c>
      <c r="J34" s="2">
        <v>2</v>
      </c>
    </row>
    <row r="35" spans="1:10" x14ac:dyDescent="0.3">
      <c r="A35" s="2" t="s">
        <v>95</v>
      </c>
      <c r="B35" s="2" t="s">
        <v>11</v>
      </c>
      <c r="C35" s="2" t="s">
        <v>45</v>
      </c>
      <c r="D35" s="2" t="s">
        <v>24</v>
      </c>
      <c r="E35" s="3" t="s">
        <v>94</v>
      </c>
      <c r="F35" s="2">
        <v>94109</v>
      </c>
      <c r="G35" s="2" t="s">
        <v>21</v>
      </c>
      <c r="H35" s="2">
        <v>34.585599999999999</v>
      </c>
      <c r="I35" s="2">
        <v>49.408000000000001</v>
      </c>
      <c r="J35" s="2">
        <v>4</v>
      </c>
    </row>
    <row r="36" spans="1:10" x14ac:dyDescent="0.3">
      <c r="A36" s="2" t="s">
        <v>100</v>
      </c>
      <c r="B36" s="2" t="s">
        <v>101</v>
      </c>
      <c r="C36" s="2" t="s">
        <v>34</v>
      </c>
      <c r="D36" s="2" t="s">
        <v>24</v>
      </c>
      <c r="E36" s="3" t="s">
        <v>94</v>
      </c>
      <c r="F36" s="2">
        <v>90036</v>
      </c>
      <c r="G36" s="2" t="s">
        <v>21</v>
      </c>
      <c r="H36" s="2">
        <v>162.20400000000001</v>
      </c>
      <c r="I36" s="2">
        <v>231.72</v>
      </c>
      <c r="J36" s="2">
        <v>2</v>
      </c>
    </row>
    <row r="37" spans="1:10" x14ac:dyDescent="0.3">
      <c r="A37" s="2" t="s">
        <v>102</v>
      </c>
      <c r="B37" s="2" t="s">
        <v>17</v>
      </c>
      <c r="C37" s="2" t="s">
        <v>34</v>
      </c>
      <c r="D37" s="2" t="s">
        <v>24</v>
      </c>
      <c r="E37" s="3" t="s">
        <v>94</v>
      </c>
      <c r="F37" s="2">
        <v>92646</v>
      </c>
      <c r="G37" s="2" t="s">
        <v>21</v>
      </c>
      <c r="H37" s="2">
        <v>3.6539999999999999</v>
      </c>
      <c r="I37" s="2">
        <v>5.22</v>
      </c>
      <c r="J37" s="2">
        <v>2</v>
      </c>
    </row>
    <row r="38" spans="1:10" x14ac:dyDescent="0.3">
      <c r="A38" s="2" t="s">
        <v>31</v>
      </c>
      <c r="B38" s="2" t="s">
        <v>17</v>
      </c>
      <c r="C38" s="2" t="s">
        <v>23</v>
      </c>
      <c r="D38" s="2" t="s">
        <v>24</v>
      </c>
      <c r="E38" s="2" t="s">
        <v>30</v>
      </c>
      <c r="F38" s="2">
        <v>78745</v>
      </c>
      <c r="G38" s="2" t="s">
        <v>32</v>
      </c>
      <c r="H38" s="2">
        <v>1007.9874</v>
      </c>
      <c r="I38" s="2">
        <v>1439.982</v>
      </c>
      <c r="J38" s="2">
        <v>3</v>
      </c>
    </row>
    <row r="39" spans="1:10" x14ac:dyDescent="0.3">
      <c r="A39" s="2" t="s">
        <v>59</v>
      </c>
      <c r="B39" s="2" t="s">
        <v>11</v>
      </c>
      <c r="C39" s="2" t="s">
        <v>23</v>
      </c>
      <c r="D39" s="2" t="s">
        <v>24</v>
      </c>
      <c r="E39" s="2" t="s">
        <v>60</v>
      </c>
      <c r="F39" s="2">
        <v>28540</v>
      </c>
      <c r="G39" s="2" t="s">
        <v>32</v>
      </c>
      <c r="H39" s="2">
        <v>486.99</v>
      </c>
      <c r="I39" s="2">
        <v>695.7</v>
      </c>
      <c r="J39" s="2">
        <v>2</v>
      </c>
    </row>
    <row r="40" spans="1:10" x14ac:dyDescent="0.3">
      <c r="A40" s="2" t="s">
        <v>68</v>
      </c>
      <c r="B40" s="2" t="s">
        <v>11</v>
      </c>
      <c r="C40" s="2" t="s">
        <v>45</v>
      </c>
      <c r="D40" s="2" t="s">
        <v>24</v>
      </c>
      <c r="E40" s="2" t="s">
        <v>62</v>
      </c>
      <c r="F40" s="2">
        <v>10035</v>
      </c>
      <c r="G40" s="2" t="s">
        <v>32</v>
      </c>
      <c r="H40" s="2">
        <v>24.338999999999999</v>
      </c>
      <c r="I40" s="2">
        <v>34.769999999999996</v>
      </c>
      <c r="J40" s="2">
        <v>3</v>
      </c>
    </row>
    <row r="41" spans="1:10" x14ac:dyDescent="0.3">
      <c r="A41" s="2" t="s">
        <v>39</v>
      </c>
      <c r="B41" s="2" t="s">
        <v>40</v>
      </c>
      <c r="C41" s="2" t="s">
        <v>34</v>
      </c>
      <c r="D41" s="2" t="s">
        <v>24</v>
      </c>
      <c r="E41" s="2" t="s">
        <v>41</v>
      </c>
      <c r="F41" s="2">
        <v>37918</v>
      </c>
      <c r="G41" s="2" t="s">
        <v>15</v>
      </c>
      <c r="H41" s="2">
        <v>220.04639999999998</v>
      </c>
      <c r="I41" s="2">
        <v>314.35199999999998</v>
      </c>
      <c r="J41" s="2">
        <v>3</v>
      </c>
    </row>
    <row r="42" spans="1:10" x14ac:dyDescent="0.3">
      <c r="A42" s="2" t="s">
        <v>42</v>
      </c>
      <c r="B42" s="2" t="s">
        <v>11</v>
      </c>
      <c r="C42" s="2" t="s">
        <v>34</v>
      </c>
      <c r="D42" s="2" t="s">
        <v>24</v>
      </c>
      <c r="E42" s="2" t="s">
        <v>43</v>
      </c>
      <c r="F42" s="2">
        <v>2920</v>
      </c>
      <c r="G42" s="2" t="s">
        <v>15</v>
      </c>
      <c r="H42" s="2">
        <v>168.52080000000001</v>
      </c>
      <c r="I42" s="2">
        <v>240.744</v>
      </c>
      <c r="J42" s="2">
        <v>4</v>
      </c>
    </row>
    <row r="43" spans="1:10" x14ac:dyDescent="0.3">
      <c r="A43" s="2" t="s">
        <v>72</v>
      </c>
      <c r="B43" s="2" t="s">
        <v>11</v>
      </c>
      <c r="C43" s="2" t="s">
        <v>34</v>
      </c>
      <c r="D43" s="2" t="s">
        <v>24</v>
      </c>
      <c r="E43" s="3" t="s">
        <v>73</v>
      </c>
      <c r="F43" s="2">
        <v>89015</v>
      </c>
      <c r="G43" s="2" t="s">
        <v>15</v>
      </c>
      <c r="H43" s="2">
        <v>137.51499999999999</v>
      </c>
      <c r="I43" s="2">
        <v>196.45</v>
      </c>
      <c r="J43" s="2">
        <v>5</v>
      </c>
    </row>
    <row r="44" spans="1:10" x14ac:dyDescent="0.3">
      <c r="A44" s="2" t="s">
        <v>77</v>
      </c>
      <c r="B44" s="2" t="s">
        <v>40</v>
      </c>
      <c r="C44" s="2" t="s">
        <v>45</v>
      </c>
      <c r="D44" s="2" t="s">
        <v>24</v>
      </c>
      <c r="E44" s="3" t="s">
        <v>78</v>
      </c>
      <c r="F44" s="2">
        <v>39503</v>
      </c>
      <c r="G44" s="2" t="s">
        <v>15</v>
      </c>
      <c r="H44" s="2">
        <v>60.515000000000001</v>
      </c>
      <c r="I44" s="2">
        <v>86.45</v>
      </c>
      <c r="J44" s="2">
        <v>7</v>
      </c>
    </row>
    <row r="45" spans="1:10" x14ac:dyDescent="0.3">
      <c r="A45" s="2" t="s">
        <v>96</v>
      </c>
      <c r="B45" s="2" t="s">
        <v>17</v>
      </c>
      <c r="C45" s="2" t="s">
        <v>45</v>
      </c>
      <c r="D45" s="2" t="s">
        <v>24</v>
      </c>
      <c r="E45" s="3" t="s">
        <v>94</v>
      </c>
      <c r="F45" s="2">
        <v>90004</v>
      </c>
      <c r="G45" s="2" t="s">
        <v>15</v>
      </c>
      <c r="H45" s="2">
        <v>195.61920000000003</v>
      </c>
      <c r="I45" s="2">
        <v>279.45600000000002</v>
      </c>
      <c r="J45" s="2">
        <v>6</v>
      </c>
    </row>
    <row r="46" spans="1:10" x14ac:dyDescent="0.3">
      <c r="A46" s="2" t="s">
        <v>97</v>
      </c>
      <c r="B46" s="2" t="s">
        <v>17</v>
      </c>
      <c r="C46" s="2" t="s">
        <v>23</v>
      </c>
      <c r="D46" s="2" t="s">
        <v>24</v>
      </c>
      <c r="E46" s="3" t="s">
        <v>94</v>
      </c>
      <c r="F46" s="2">
        <v>91104</v>
      </c>
      <c r="G46" s="2" t="s">
        <v>15</v>
      </c>
      <c r="H46" s="2">
        <v>119.9016</v>
      </c>
      <c r="I46" s="2">
        <v>171.28800000000001</v>
      </c>
      <c r="J46" s="2">
        <v>3</v>
      </c>
    </row>
    <row r="47" spans="1:10" x14ac:dyDescent="0.3">
      <c r="A47" s="2" t="s">
        <v>98</v>
      </c>
      <c r="B47" s="2" t="s">
        <v>11</v>
      </c>
      <c r="C47" s="2" t="s">
        <v>23</v>
      </c>
      <c r="D47" s="2" t="s">
        <v>24</v>
      </c>
      <c r="E47" s="3" t="s">
        <v>94</v>
      </c>
      <c r="F47" s="2">
        <v>94110</v>
      </c>
      <c r="G47" s="2" t="s">
        <v>15</v>
      </c>
      <c r="H47" s="2">
        <v>334.36619999999999</v>
      </c>
      <c r="I47" s="2">
        <v>477.666</v>
      </c>
      <c r="J47" s="2">
        <v>2</v>
      </c>
    </row>
    <row r="48" spans="1:10" x14ac:dyDescent="0.3">
      <c r="A48" s="2" t="s">
        <v>20</v>
      </c>
      <c r="B48" s="2" t="s">
        <v>17</v>
      </c>
      <c r="C48" s="2" t="s">
        <v>18</v>
      </c>
      <c r="D48" s="2" t="s">
        <v>19</v>
      </c>
      <c r="E48" s="2" t="s">
        <v>14</v>
      </c>
      <c r="F48" s="2">
        <v>98198</v>
      </c>
      <c r="G48" s="2" t="s">
        <v>21</v>
      </c>
      <c r="H48" s="2">
        <v>12.978</v>
      </c>
      <c r="I48" s="2">
        <v>18.54</v>
      </c>
      <c r="J48" s="2">
        <v>2</v>
      </c>
    </row>
    <row r="49" spans="1:10" x14ac:dyDescent="0.3">
      <c r="A49" s="2" t="s">
        <v>47</v>
      </c>
      <c r="B49" s="2" t="s">
        <v>17</v>
      </c>
      <c r="C49" s="2" t="s">
        <v>18</v>
      </c>
      <c r="D49" s="2" t="s">
        <v>19</v>
      </c>
      <c r="E49" s="2" t="s">
        <v>46</v>
      </c>
      <c r="F49" s="2">
        <v>19143</v>
      </c>
      <c r="G49" s="2" t="s">
        <v>21</v>
      </c>
      <c r="H49" s="2">
        <v>14.515200000000004</v>
      </c>
      <c r="I49" s="2">
        <v>20.736000000000004</v>
      </c>
      <c r="J49" s="2">
        <v>4</v>
      </c>
    </row>
    <row r="50" spans="1:10" x14ac:dyDescent="0.3">
      <c r="A50" s="2" t="s">
        <v>53</v>
      </c>
      <c r="B50" s="2" t="s">
        <v>11</v>
      </c>
      <c r="C50" s="2" t="s">
        <v>54</v>
      </c>
      <c r="D50" s="2" t="s">
        <v>19</v>
      </c>
      <c r="E50" s="2" t="s">
        <v>51</v>
      </c>
      <c r="F50" s="2">
        <v>97301</v>
      </c>
      <c r="G50" s="2" t="s">
        <v>21</v>
      </c>
      <c r="H50" s="2">
        <v>31.668000000000006</v>
      </c>
      <c r="I50" s="2">
        <v>45.240000000000009</v>
      </c>
      <c r="J50" s="2">
        <v>4</v>
      </c>
    </row>
    <row r="51" spans="1:10" x14ac:dyDescent="0.3">
      <c r="A51" s="2" t="s">
        <v>70</v>
      </c>
      <c r="B51" s="2" t="s">
        <v>17</v>
      </c>
      <c r="C51" s="2" t="s">
        <v>18</v>
      </c>
      <c r="D51" s="2" t="s">
        <v>19</v>
      </c>
      <c r="E51" s="3" t="s">
        <v>71</v>
      </c>
      <c r="F51" s="2">
        <v>3301</v>
      </c>
      <c r="G51" s="2" t="s">
        <v>21</v>
      </c>
      <c r="H51" s="2">
        <v>19.551000000000002</v>
      </c>
      <c r="I51" s="2">
        <v>27.93</v>
      </c>
      <c r="J51" s="2">
        <v>3</v>
      </c>
    </row>
    <row r="52" spans="1:10" x14ac:dyDescent="0.3">
      <c r="A52" s="2" t="s">
        <v>83</v>
      </c>
      <c r="B52" s="2" t="s">
        <v>17</v>
      </c>
      <c r="C52" s="2" t="s">
        <v>54</v>
      </c>
      <c r="D52" s="2" t="s">
        <v>19</v>
      </c>
      <c r="E52" s="3" t="s">
        <v>82</v>
      </c>
      <c r="F52" s="2">
        <v>40214</v>
      </c>
      <c r="G52" s="2" t="s">
        <v>21</v>
      </c>
      <c r="H52" s="2">
        <v>72.051000000000002</v>
      </c>
      <c r="I52" s="2">
        <v>102.93</v>
      </c>
      <c r="J52" s="2">
        <v>3</v>
      </c>
    </row>
    <row r="53" spans="1:10" x14ac:dyDescent="0.3">
      <c r="A53" s="2" t="s">
        <v>84</v>
      </c>
      <c r="B53" s="2" t="s">
        <v>11</v>
      </c>
      <c r="C53" s="2" t="s">
        <v>18</v>
      </c>
      <c r="D53" s="2" t="s">
        <v>19</v>
      </c>
      <c r="E53" s="3" t="s">
        <v>85</v>
      </c>
      <c r="F53" s="2">
        <v>46142</v>
      </c>
      <c r="G53" s="2" t="s">
        <v>21</v>
      </c>
      <c r="H53" s="2">
        <v>3.0869999999999997</v>
      </c>
      <c r="I53" s="2">
        <v>4.41</v>
      </c>
      <c r="J53" s="2">
        <v>1</v>
      </c>
    </row>
    <row r="54" spans="1:10" x14ac:dyDescent="0.3">
      <c r="A54" s="2" t="s">
        <v>104</v>
      </c>
      <c r="B54" s="2" t="s">
        <v>17</v>
      </c>
      <c r="C54" s="2" t="s">
        <v>54</v>
      </c>
      <c r="D54" s="2" t="s">
        <v>19</v>
      </c>
      <c r="E54" s="3" t="s">
        <v>94</v>
      </c>
      <c r="F54" s="2">
        <v>94110</v>
      </c>
      <c r="G54" s="2" t="s">
        <v>21</v>
      </c>
      <c r="H54" s="2">
        <v>171.185</v>
      </c>
      <c r="I54" s="2">
        <v>244.54999999999998</v>
      </c>
      <c r="J54" s="2">
        <v>5</v>
      </c>
    </row>
    <row r="55" spans="1:10" x14ac:dyDescent="0.3">
      <c r="A55" s="2" t="s">
        <v>63</v>
      </c>
      <c r="B55" s="2" t="s">
        <v>11</v>
      </c>
      <c r="C55" s="2" t="s">
        <v>18</v>
      </c>
      <c r="D55" s="2" t="s">
        <v>19</v>
      </c>
      <c r="E55" s="3" t="s">
        <v>62</v>
      </c>
      <c r="F55" s="2">
        <v>10009</v>
      </c>
      <c r="G55" s="2" t="s">
        <v>32</v>
      </c>
      <c r="H55" s="2">
        <v>4.7530000000000001</v>
      </c>
      <c r="I55" s="2">
        <v>6.79</v>
      </c>
      <c r="J55" s="2">
        <v>1</v>
      </c>
    </row>
    <row r="56" spans="1:10" x14ac:dyDescent="0.3">
      <c r="A56" s="2" t="s">
        <v>90</v>
      </c>
      <c r="B56" s="2" t="s">
        <v>40</v>
      </c>
      <c r="C56" s="2" t="s">
        <v>54</v>
      </c>
      <c r="D56" s="2" t="s">
        <v>19</v>
      </c>
      <c r="E56" s="3" t="s">
        <v>88</v>
      </c>
      <c r="F56" s="2">
        <v>60505</v>
      </c>
      <c r="G56" s="2" t="s">
        <v>32</v>
      </c>
      <c r="H56" s="2">
        <v>35.084000000000003</v>
      </c>
      <c r="I56" s="2">
        <v>50.120000000000005</v>
      </c>
      <c r="J56" s="2">
        <v>7</v>
      </c>
    </row>
    <row r="57" spans="1:10" x14ac:dyDescent="0.3">
      <c r="A57" s="2" t="s">
        <v>99</v>
      </c>
      <c r="B57" s="2" t="s">
        <v>17</v>
      </c>
      <c r="C57" s="2" t="s">
        <v>18</v>
      </c>
      <c r="D57" s="2" t="s">
        <v>19</v>
      </c>
      <c r="E57" s="3" t="s">
        <v>94</v>
      </c>
      <c r="F57" s="2">
        <v>90004</v>
      </c>
      <c r="G57" s="2" t="s">
        <v>32</v>
      </c>
      <c r="H57" s="2">
        <v>55.992999999999995</v>
      </c>
      <c r="I57" s="2">
        <v>79.989999999999995</v>
      </c>
      <c r="J57" s="2">
        <v>1</v>
      </c>
    </row>
    <row r="58" spans="1:10" x14ac:dyDescent="0.3">
      <c r="A58" s="2" t="s">
        <v>16</v>
      </c>
      <c r="B58" s="2" t="s">
        <v>17</v>
      </c>
      <c r="C58" s="2" t="s">
        <v>18</v>
      </c>
      <c r="D58" s="2" t="s">
        <v>19</v>
      </c>
      <c r="E58" s="2" t="s">
        <v>14</v>
      </c>
      <c r="F58" s="2">
        <v>98105</v>
      </c>
      <c r="G58" s="2" t="s">
        <v>15</v>
      </c>
      <c r="H58" s="2">
        <v>1425.8020000000001</v>
      </c>
      <c r="I58" s="2">
        <v>2036.8600000000001</v>
      </c>
      <c r="J58" s="2">
        <v>7</v>
      </c>
    </row>
    <row r="59" spans="1:10" x14ac:dyDescent="0.3">
      <c r="A59" s="2" t="s">
        <v>26</v>
      </c>
      <c r="B59" s="2" t="s">
        <v>17</v>
      </c>
      <c r="C59" s="2" t="s">
        <v>18</v>
      </c>
      <c r="D59" s="2" t="s">
        <v>19</v>
      </c>
      <c r="E59" s="2" t="s">
        <v>25</v>
      </c>
      <c r="F59" s="2">
        <v>22980</v>
      </c>
      <c r="G59" s="2" t="s">
        <v>15</v>
      </c>
      <c r="H59" s="2">
        <v>89.515999999999991</v>
      </c>
      <c r="I59" s="2">
        <v>127.88</v>
      </c>
      <c r="J59" s="2">
        <v>2</v>
      </c>
    </row>
    <row r="60" spans="1:10" x14ac:dyDescent="0.3">
      <c r="A60" s="2" t="s">
        <v>108</v>
      </c>
      <c r="B60" s="2" t="s">
        <v>101</v>
      </c>
      <c r="C60" s="2" t="s">
        <v>54</v>
      </c>
      <c r="D60" s="2" t="s">
        <v>19</v>
      </c>
      <c r="E60" s="2" t="s">
        <v>106</v>
      </c>
      <c r="F60" s="2">
        <v>85705</v>
      </c>
      <c r="G60" s="2" t="s">
        <v>15</v>
      </c>
      <c r="H60" s="2">
        <v>181.39520000000002</v>
      </c>
      <c r="I60" s="2">
        <v>259.13600000000002</v>
      </c>
      <c r="J60" s="2">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6BC7-A3B4-47EB-9CEA-A455AB52EDFE}">
  <dimension ref="A1:T60"/>
  <sheetViews>
    <sheetView workbookViewId="0"/>
  </sheetViews>
  <sheetFormatPr defaultRowHeight="14.4" x14ac:dyDescent="0.3"/>
  <cols>
    <col min="1" max="1" width="14.88671875" bestFit="1" customWidth="1"/>
    <col min="2" max="2" width="14.44140625" bestFit="1" customWidth="1"/>
    <col min="3" max="3" width="18.44140625" bestFit="1" customWidth="1"/>
    <col min="4" max="4" width="11.6640625" bestFit="1" customWidth="1"/>
    <col min="5" max="5" width="15.109375" bestFit="1" customWidth="1"/>
    <col min="6" max="6" width="12.109375" bestFit="1" customWidth="1"/>
    <col min="7" max="7" width="9.33203125" bestFit="1" customWidth="1"/>
    <col min="8" max="8" width="14" bestFit="1" customWidth="1"/>
    <col min="9" max="10" width="9" bestFit="1" customWidth="1"/>
    <col min="12" max="12" width="14.88671875" bestFit="1" customWidth="1"/>
    <col min="13" max="13" width="12.6640625" bestFit="1" customWidth="1"/>
    <col min="14" max="14" width="18.44140625" bestFit="1" customWidth="1"/>
    <col min="15" max="15" width="11.6640625" bestFit="1" customWidth="1"/>
    <col min="17" max="17" width="25.6640625" bestFit="1" customWidth="1"/>
    <col min="18" max="18" width="10.44140625" bestFit="1" customWidth="1"/>
    <col min="19" max="19" width="13.109375" bestFit="1" customWidth="1"/>
  </cols>
  <sheetData>
    <row r="1" spans="1:20" ht="15.6" x14ac:dyDescent="0.3">
      <c r="A1" s="1" t="s">
        <v>0</v>
      </c>
      <c r="B1" s="1" t="s">
        <v>1</v>
      </c>
      <c r="C1" s="1" t="s">
        <v>2</v>
      </c>
      <c r="D1" s="1" t="s">
        <v>3</v>
      </c>
      <c r="E1" s="1" t="s">
        <v>4</v>
      </c>
      <c r="F1" s="1" t="s">
        <v>5</v>
      </c>
      <c r="G1" s="1" t="s">
        <v>6</v>
      </c>
      <c r="H1" s="1" t="s">
        <v>7</v>
      </c>
      <c r="I1" s="1" t="s">
        <v>8</v>
      </c>
      <c r="J1" s="1" t="s">
        <v>9</v>
      </c>
      <c r="L1" s="1" t="s">
        <v>8</v>
      </c>
    </row>
    <row r="2" spans="1:20" x14ac:dyDescent="0.3">
      <c r="A2" s="2" t="s">
        <v>27</v>
      </c>
      <c r="B2" s="2" t="s">
        <v>11</v>
      </c>
      <c r="C2" s="2" t="s">
        <v>28</v>
      </c>
      <c r="D2" s="2" t="s">
        <v>13</v>
      </c>
      <c r="E2" s="2" t="s">
        <v>25</v>
      </c>
      <c r="F2" s="2">
        <v>22901</v>
      </c>
      <c r="G2" s="2" t="s">
        <v>21</v>
      </c>
      <c r="H2" s="2">
        <v>24.255000000000003</v>
      </c>
      <c r="I2" s="2">
        <v>34.650000000000006</v>
      </c>
      <c r="J2" s="2">
        <v>3</v>
      </c>
      <c r="L2">
        <f>MATCH(L1,A1:J1,0)</f>
        <v>9</v>
      </c>
      <c r="M2" t="str">
        <f ca="1">_xlfn.FORMULATEXT(L2)</f>
        <v>=MATCH(L1,A1:J1,0)</v>
      </c>
    </row>
    <row r="3" spans="1:20" x14ac:dyDescent="0.3">
      <c r="A3" s="2" t="s">
        <v>86</v>
      </c>
      <c r="B3" s="2" t="s">
        <v>11</v>
      </c>
      <c r="C3" s="2" t="s">
        <v>37</v>
      </c>
      <c r="D3" s="2" t="s">
        <v>13</v>
      </c>
      <c r="E3" s="3" t="s">
        <v>85</v>
      </c>
      <c r="F3" s="2">
        <v>46203</v>
      </c>
      <c r="G3" s="2" t="s">
        <v>21</v>
      </c>
      <c r="H3" s="2">
        <v>2.5830000000000002</v>
      </c>
      <c r="I3" s="2">
        <v>3.69</v>
      </c>
      <c r="J3" s="2">
        <v>1</v>
      </c>
      <c r="S3" t="s">
        <v>114</v>
      </c>
      <c r="T3">
        <v>500</v>
      </c>
    </row>
    <row r="4" spans="1:20" x14ac:dyDescent="0.3">
      <c r="A4" s="2" t="s">
        <v>103</v>
      </c>
      <c r="B4" s="2" t="s">
        <v>11</v>
      </c>
      <c r="C4" s="2" t="s">
        <v>28</v>
      </c>
      <c r="D4" s="2" t="s">
        <v>13</v>
      </c>
      <c r="E4" s="3" t="s">
        <v>94</v>
      </c>
      <c r="F4" s="2">
        <v>92037</v>
      </c>
      <c r="G4" s="2" t="s">
        <v>21</v>
      </c>
      <c r="H4" s="2">
        <v>9.7789999999999999</v>
      </c>
      <c r="I4" s="2">
        <v>13.97</v>
      </c>
      <c r="J4" s="2">
        <v>1</v>
      </c>
    </row>
    <row r="5" spans="1:20" ht="15.6" x14ac:dyDescent="0.3">
      <c r="A5" s="2" t="s">
        <v>22</v>
      </c>
      <c r="B5" s="2" t="s">
        <v>11</v>
      </c>
      <c r="C5" s="2" t="s">
        <v>23</v>
      </c>
      <c r="D5" s="2" t="s">
        <v>24</v>
      </c>
      <c r="E5" s="2" t="s">
        <v>25</v>
      </c>
      <c r="F5" s="2">
        <v>22204</v>
      </c>
      <c r="G5" s="2" t="s">
        <v>21</v>
      </c>
      <c r="H5" s="2">
        <v>21.979999999999997</v>
      </c>
      <c r="I5" s="2">
        <v>31.4</v>
      </c>
      <c r="J5" s="2">
        <v>2</v>
      </c>
      <c r="L5" s="1" t="s">
        <v>0</v>
      </c>
      <c r="M5" s="1" t="s">
        <v>1</v>
      </c>
      <c r="N5" s="1" t="s">
        <v>2</v>
      </c>
      <c r="O5" s="1" t="s">
        <v>3</v>
      </c>
      <c r="Q5" s="7" t="s">
        <v>109</v>
      </c>
      <c r="R5" s="7" t="s">
        <v>115</v>
      </c>
      <c r="S5" s="7" t="s">
        <v>116</v>
      </c>
    </row>
    <row r="6" spans="1:20" x14ac:dyDescent="0.3">
      <c r="A6" s="2" t="s">
        <v>48</v>
      </c>
      <c r="B6" s="2" t="s">
        <v>11</v>
      </c>
      <c r="C6" s="2" t="s">
        <v>34</v>
      </c>
      <c r="D6" s="2" t="s">
        <v>24</v>
      </c>
      <c r="E6" s="2" t="s">
        <v>46</v>
      </c>
      <c r="F6" s="2">
        <v>19013</v>
      </c>
      <c r="G6" s="2" t="s">
        <v>21</v>
      </c>
      <c r="H6" s="2">
        <v>6.0165000000000015</v>
      </c>
      <c r="I6" s="2">
        <v>8.5950000000000024</v>
      </c>
      <c r="J6" s="2">
        <v>5</v>
      </c>
      <c r="L6" s="2" t="s">
        <v>10</v>
      </c>
      <c r="M6" s="2" t="str">
        <f>VLOOKUP(L6,A:B,2,0)</f>
        <v>First Class</v>
      </c>
      <c r="N6" s="2" t="str">
        <f>VLOOKUP(L6,A:C,3,0)</f>
        <v>Aaron Bergman</v>
      </c>
      <c r="O6" s="2" t="str">
        <f>VLOOKUP(L6,A:J,4,0)</f>
        <v>Consumer</v>
      </c>
      <c r="Q6" t="s">
        <v>110</v>
      </c>
      <c r="R6">
        <v>5</v>
      </c>
      <c r="S6">
        <f>R6*$T$3</f>
        <v>2500</v>
      </c>
    </row>
    <row r="7" spans="1:20" x14ac:dyDescent="0.3">
      <c r="A7" s="2" t="s">
        <v>50</v>
      </c>
      <c r="B7" s="2" t="s">
        <v>11</v>
      </c>
      <c r="C7" s="2" t="s">
        <v>23</v>
      </c>
      <c r="D7" s="2" t="s">
        <v>24</v>
      </c>
      <c r="E7" s="2" t="s">
        <v>51</v>
      </c>
      <c r="F7" s="2">
        <v>97756</v>
      </c>
      <c r="G7" s="2" t="s">
        <v>21</v>
      </c>
      <c r="H7" s="2">
        <v>61.651800000000009</v>
      </c>
      <c r="I7" s="2">
        <v>88.074000000000012</v>
      </c>
      <c r="J7" s="2">
        <v>7</v>
      </c>
      <c r="L7" s="2" t="s">
        <v>42</v>
      </c>
      <c r="M7" s="2" t="str">
        <f t="shared" ref="M7:M15" si="0">VLOOKUP(L7,A:B,2,0)</f>
        <v>First Class</v>
      </c>
      <c r="N7" s="2" t="str">
        <f t="shared" ref="N7:N15" si="1">VLOOKUP(L7,A:C,3,0)</f>
        <v>Adam Hart</v>
      </c>
      <c r="O7" s="2" t="str">
        <f t="shared" ref="O7:O15" si="2">VLOOKUP(L7,A:J,4,0)</f>
        <v>Corporate</v>
      </c>
      <c r="Q7" t="s">
        <v>111</v>
      </c>
      <c r="R7">
        <v>3</v>
      </c>
      <c r="S7">
        <f t="shared" ref="S7:S9" si="3">R7*$T$3</f>
        <v>1500</v>
      </c>
    </row>
    <row r="8" spans="1:20" x14ac:dyDescent="0.3">
      <c r="A8" s="2" t="s">
        <v>95</v>
      </c>
      <c r="B8" s="2" t="s">
        <v>11</v>
      </c>
      <c r="C8" s="2" t="s">
        <v>45</v>
      </c>
      <c r="D8" s="2" t="s">
        <v>24</v>
      </c>
      <c r="E8" s="3" t="s">
        <v>94</v>
      </c>
      <c r="F8" s="2">
        <v>94109</v>
      </c>
      <c r="G8" s="2" t="s">
        <v>21</v>
      </c>
      <c r="H8" s="2">
        <v>34.585599999999999</v>
      </c>
      <c r="I8" s="2">
        <v>49.408000000000001</v>
      </c>
      <c r="J8" s="2">
        <v>4</v>
      </c>
      <c r="L8" s="2" t="s">
        <v>72</v>
      </c>
      <c r="M8" s="2" t="str">
        <f t="shared" si="0"/>
        <v>First Class</v>
      </c>
      <c r="N8" s="2" t="str">
        <f t="shared" si="1"/>
        <v>Adam Hart</v>
      </c>
      <c r="O8" s="2" t="str">
        <f t="shared" si="2"/>
        <v>Corporate</v>
      </c>
      <c r="Q8" t="s">
        <v>112</v>
      </c>
      <c r="R8">
        <v>7</v>
      </c>
      <c r="S8">
        <f t="shared" si="3"/>
        <v>3500</v>
      </c>
    </row>
    <row r="9" spans="1:20" x14ac:dyDescent="0.3">
      <c r="A9" s="2" t="s">
        <v>53</v>
      </c>
      <c r="B9" s="2" t="s">
        <v>11</v>
      </c>
      <c r="C9" s="2" t="s">
        <v>54</v>
      </c>
      <c r="D9" s="2" t="s">
        <v>19</v>
      </c>
      <c r="E9" s="2" t="s">
        <v>51</v>
      </c>
      <c r="F9" s="2">
        <v>97301</v>
      </c>
      <c r="G9" s="2" t="s">
        <v>21</v>
      </c>
      <c r="H9" s="2">
        <v>31.668000000000006</v>
      </c>
      <c r="I9" s="2">
        <v>45.240000000000009</v>
      </c>
      <c r="J9" s="2">
        <v>4</v>
      </c>
      <c r="L9" s="2" t="s">
        <v>98</v>
      </c>
      <c r="M9" s="2" t="str">
        <f t="shared" si="0"/>
        <v>First Class</v>
      </c>
      <c r="N9" s="2" t="str">
        <f t="shared" si="1"/>
        <v>Aaron Smayling</v>
      </c>
      <c r="O9" s="2" t="str">
        <f t="shared" si="2"/>
        <v>Corporate</v>
      </c>
      <c r="Q9" t="s">
        <v>113</v>
      </c>
      <c r="R9">
        <v>9</v>
      </c>
      <c r="S9">
        <f t="shared" si="3"/>
        <v>4500</v>
      </c>
    </row>
    <row r="10" spans="1:20" x14ac:dyDescent="0.3">
      <c r="A10" s="2" t="s">
        <v>84</v>
      </c>
      <c r="B10" s="2" t="s">
        <v>11</v>
      </c>
      <c r="C10" s="2" t="s">
        <v>18</v>
      </c>
      <c r="D10" s="2" t="s">
        <v>19</v>
      </c>
      <c r="E10" s="3" t="s">
        <v>85</v>
      </c>
      <c r="F10" s="2">
        <v>46142</v>
      </c>
      <c r="G10" s="2" t="s">
        <v>21</v>
      </c>
      <c r="H10" s="2">
        <v>3.0869999999999997</v>
      </c>
      <c r="I10" s="2">
        <v>4.41</v>
      </c>
      <c r="J10" s="2">
        <v>1</v>
      </c>
      <c r="L10" s="2" t="s">
        <v>100</v>
      </c>
      <c r="M10" s="2" t="str">
        <f t="shared" si="0"/>
        <v>Same Day</v>
      </c>
      <c r="N10" s="2" t="str">
        <f t="shared" si="1"/>
        <v>Adam Hart</v>
      </c>
      <c r="O10" s="2" t="str">
        <f t="shared" si="2"/>
        <v>Corporate</v>
      </c>
    </row>
    <row r="11" spans="1:20" x14ac:dyDescent="0.3">
      <c r="A11" s="2" t="s">
        <v>36</v>
      </c>
      <c r="B11" s="2" t="s">
        <v>11</v>
      </c>
      <c r="C11" s="2" t="s">
        <v>37</v>
      </c>
      <c r="D11" s="2" t="s">
        <v>13</v>
      </c>
      <c r="E11" s="2" t="s">
        <v>30</v>
      </c>
      <c r="F11" s="2">
        <v>77581</v>
      </c>
      <c r="G11" s="2" t="s">
        <v>32</v>
      </c>
      <c r="H11" s="2">
        <v>329.2632000000001</v>
      </c>
      <c r="I11" s="2">
        <v>470.37600000000009</v>
      </c>
      <c r="J11" s="2">
        <v>3</v>
      </c>
      <c r="L11" s="2" t="s">
        <v>108</v>
      </c>
      <c r="M11" s="2" t="str">
        <f t="shared" si="0"/>
        <v>Same Day</v>
      </c>
      <c r="N11" s="2" t="str">
        <f t="shared" si="1"/>
        <v>Adrian Hane</v>
      </c>
      <c r="O11" s="2" t="str">
        <f t="shared" si="2"/>
        <v>Home Office</v>
      </c>
    </row>
    <row r="12" spans="1:20" x14ac:dyDescent="0.3">
      <c r="A12" s="2" t="s">
        <v>49</v>
      </c>
      <c r="B12" s="2" t="s">
        <v>11</v>
      </c>
      <c r="C12" s="2" t="s">
        <v>28</v>
      </c>
      <c r="D12" s="2" t="s">
        <v>13</v>
      </c>
      <c r="E12" s="2" t="s">
        <v>46</v>
      </c>
      <c r="F12" s="2">
        <v>19143</v>
      </c>
      <c r="G12" s="2" t="s">
        <v>32</v>
      </c>
      <c r="H12" s="2">
        <v>50.383200000000002</v>
      </c>
      <c r="I12" s="2">
        <v>71.975999999999999</v>
      </c>
      <c r="J12" s="2">
        <v>3</v>
      </c>
      <c r="L12" s="2" t="s">
        <v>74</v>
      </c>
      <c r="M12" s="2" t="str">
        <f t="shared" si="0"/>
        <v>Second Class</v>
      </c>
      <c r="N12" s="2" t="str">
        <f t="shared" si="1"/>
        <v>Adam Shillingsburg</v>
      </c>
      <c r="O12" s="2" t="str">
        <f t="shared" si="2"/>
        <v>Consumer</v>
      </c>
    </row>
    <row r="13" spans="1:20" x14ac:dyDescent="0.3">
      <c r="A13" s="2" t="s">
        <v>52</v>
      </c>
      <c r="B13" s="2" t="s">
        <v>11</v>
      </c>
      <c r="C13" s="2" t="s">
        <v>37</v>
      </c>
      <c r="D13" s="2" t="s">
        <v>13</v>
      </c>
      <c r="E13" s="2" t="s">
        <v>51</v>
      </c>
      <c r="F13" s="2">
        <v>97206</v>
      </c>
      <c r="G13" s="2" t="s">
        <v>32</v>
      </c>
      <c r="H13" s="2">
        <v>241.2928</v>
      </c>
      <c r="I13" s="2">
        <v>344.70400000000001</v>
      </c>
      <c r="J13" s="2">
        <v>2</v>
      </c>
      <c r="L13" s="2" t="s">
        <v>57</v>
      </c>
      <c r="M13" s="2" t="str">
        <f t="shared" si="0"/>
        <v>Second Class</v>
      </c>
      <c r="N13" s="2" t="str">
        <f t="shared" si="1"/>
        <v>Adam Hart</v>
      </c>
      <c r="O13" s="2" t="str">
        <f t="shared" si="2"/>
        <v>Corporate</v>
      </c>
    </row>
    <row r="14" spans="1:20" x14ac:dyDescent="0.3">
      <c r="A14" s="2" t="s">
        <v>55</v>
      </c>
      <c r="B14" s="2" t="s">
        <v>11</v>
      </c>
      <c r="C14" s="2" t="s">
        <v>12</v>
      </c>
      <c r="D14" s="2" t="s">
        <v>13</v>
      </c>
      <c r="E14" s="2" t="s">
        <v>56</v>
      </c>
      <c r="F14" s="2">
        <v>73120</v>
      </c>
      <c r="G14" s="2" t="s">
        <v>32</v>
      </c>
      <c r="H14" s="2">
        <v>155.386</v>
      </c>
      <c r="I14" s="2">
        <v>221.98</v>
      </c>
      <c r="J14" s="2">
        <v>2</v>
      </c>
      <c r="L14" s="2" t="s">
        <v>69</v>
      </c>
      <c r="M14" s="2" t="str">
        <f t="shared" si="0"/>
        <v>Second Class</v>
      </c>
      <c r="N14" s="2" t="str">
        <f t="shared" si="1"/>
        <v>Aaron Hawkins</v>
      </c>
      <c r="O14" s="2" t="str">
        <f t="shared" si="2"/>
        <v>Corporate</v>
      </c>
    </row>
    <row r="15" spans="1:20" x14ac:dyDescent="0.3">
      <c r="A15" s="2" t="s">
        <v>59</v>
      </c>
      <c r="B15" s="2" t="s">
        <v>11</v>
      </c>
      <c r="C15" s="2" t="s">
        <v>23</v>
      </c>
      <c r="D15" s="2" t="s">
        <v>24</v>
      </c>
      <c r="E15" s="2" t="s">
        <v>60</v>
      </c>
      <c r="F15" s="2">
        <v>28540</v>
      </c>
      <c r="G15" s="2" t="s">
        <v>32</v>
      </c>
      <c r="H15" s="2">
        <v>486.99</v>
      </c>
      <c r="I15" s="2">
        <v>695.7</v>
      </c>
      <c r="J15" s="2">
        <v>2</v>
      </c>
      <c r="L15" s="2" t="s">
        <v>90</v>
      </c>
      <c r="M15" s="2" t="str">
        <f t="shared" si="0"/>
        <v>Second Class</v>
      </c>
      <c r="N15" s="2" t="str">
        <f t="shared" si="1"/>
        <v>Adrian Hane</v>
      </c>
      <c r="O15" s="2" t="str">
        <f t="shared" si="2"/>
        <v>Home Office</v>
      </c>
    </row>
    <row r="16" spans="1:20" x14ac:dyDescent="0.3">
      <c r="A16" s="2" t="s">
        <v>68</v>
      </c>
      <c r="B16" s="2" t="s">
        <v>11</v>
      </c>
      <c r="C16" s="2" t="s">
        <v>45</v>
      </c>
      <c r="D16" s="2" t="s">
        <v>24</v>
      </c>
      <c r="E16" s="2" t="s">
        <v>62</v>
      </c>
      <c r="F16" s="2">
        <v>10035</v>
      </c>
      <c r="G16" s="2" t="s">
        <v>32</v>
      </c>
      <c r="H16" s="2">
        <v>24.338999999999999</v>
      </c>
      <c r="I16" s="2">
        <v>34.769999999999996</v>
      </c>
      <c r="J16" s="2">
        <v>3</v>
      </c>
    </row>
    <row r="17" spans="1:17" ht="15.6" x14ac:dyDescent="0.3">
      <c r="A17" s="2" t="s">
        <v>63</v>
      </c>
      <c r="B17" s="2" t="s">
        <v>11</v>
      </c>
      <c r="C17" s="2" t="s">
        <v>18</v>
      </c>
      <c r="D17" s="2" t="s">
        <v>19</v>
      </c>
      <c r="E17" s="3" t="s">
        <v>62</v>
      </c>
      <c r="F17" s="2">
        <v>10009</v>
      </c>
      <c r="G17" s="2" t="s">
        <v>32</v>
      </c>
      <c r="H17" s="2">
        <v>4.7530000000000001</v>
      </c>
      <c r="I17" s="2">
        <v>6.79</v>
      </c>
      <c r="J17" s="2">
        <v>1</v>
      </c>
      <c r="L17" s="1" t="s">
        <v>0</v>
      </c>
      <c r="M17" s="1" t="s">
        <v>1</v>
      </c>
      <c r="N17" s="1" t="s">
        <v>2</v>
      </c>
      <c r="O17" s="1" t="s">
        <v>3</v>
      </c>
    </row>
    <row r="18" spans="1:17" x14ac:dyDescent="0.3">
      <c r="A18" s="2" t="s">
        <v>10</v>
      </c>
      <c r="B18" s="2" t="s">
        <v>11</v>
      </c>
      <c r="C18" s="2" t="s">
        <v>12</v>
      </c>
      <c r="D18" s="2" t="s">
        <v>13</v>
      </c>
      <c r="E18" s="2" t="s">
        <v>14</v>
      </c>
      <c r="F18" s="2">
        <v>98103</v>
      </c>
      <c r="G18" s="2" t="s">
        <v>15</v>
      </c>
      <c r="H18" s="2">
        <v>34.098399999999998</v>
      </c>
      <c r="I18" s="2">
        <v>48.712000000000003</v>
      </c>
      <c r="J18" s="2">
        <v>1</v>
      </c>
      <c r="L18" s="2" t="s">
        <v>10</v>
      </c>
      <c r="M18" s="5" t="str" cm="1">
        <f t="array" ref="M18:O18">VLOOKUP(L18,A:J,{2,3,4},0)</f>
        <v>First Class</v>
      </c>
      <c r="N18" s="5" t="str">
        <v>Aaron Bergman</v>
      </c>
      <c r="O18" s="5" t="str">
        <v>Consumer</v>
      </c>
      <c r="Q18" t="str">
        <f ca="1">_xlfn.FORMULATEXT(M18)</f>
        <v>=VLOOKUP(L18,A:J,{2,3,4},0)</v>
      </c>
    </row>
    <row r="19" spans="1:17" x14ac:dyDescent="0.3">
      <c r="A19" s="2" t="s">
        <v>42</v>
      </c>
      <c r="B19" s="2" t="s">
        <v>11</v>
      </c>
      <c r="C19" s="2" t="s">
        <v>34</v>
      </c>
      <c r="D19" s="2" t="s">
        <v>24</v>
      </c>
      <c r="E19" s="2" t="s">
        <v>43</v>
      </c>
      <c r="F19" s="2">
        <v>2920</v>
      </c>
      <c r="G19" s="2" t="s">
        <v>15</v>
      </c>
      <c r="H19" s="2">
        <v>168.52080000000001</v>
      </c>
      <c r="I19" s="2">
        <v>240.744</v>
      </c>
      <c r="J19" s="2">
        <v>4</v>
      </c>
      <c r="L19" s="2" t="s">
        <v>42</v>
      </c>
      <c r="M19" s="5" t="str" cm="1">
        <f t="array" ref="M19:O19">VLOOKUP(L19,A:J,{2,3,4},0)</f>
        <v>First Class</v>
      </c>
      <c r="N19" s="5" t="str">
        <v>Adam Hart</v>
      </c>
      <c r="O19" s="5" t="str">
        <v>Corporate</v>
      </c>
    </row>
    <row r="20" spans="1:17" x14ac:dyDescent="0.3">
      <c r="A20" s="2" t="s">
        <v>72</v>
      </c>
      <c r="B20" s="2" t="s">
        <v>11</v>
      </c>
      <c r="C20" s="2" t="s">
        <v>34</v>
      </c>
      <c r="D20" s="2" t="s">
        <v>24</v>
      </c>
      <c r="E20" s="3" t="s">
        <v>73</v>
      </c>
      <c r="F20" s="2">
        <v>89015</v>
      </c>
      <c r="G20" s="2" t="s">
        <v>15</v>
      </c>
      <c r="H20" s="2">
        <v>137.51499999999999</v>
      </c>
      <c r="I20" s="2">
        <v>196.45</v>
      </c>
      <c r="J20" s="2">
        <v>5</v>
      </c>
      <c r="L20" s="2" t="s">
        <v>72</v>
      </c>
      <c r="M20" s="5" t="str" cm="1">
        <f t="array" ref="M20:O20">VLOOKUP(L20,A:J,{2,3,4},0)</f>
        <v>First Class</v>
      </c>
      <c r="N20" s="5" t="str">
        <v>Adam Hart</v>
      </c>
      <c r="O20" s="5" t="str">
        <v>Corporate</v>
      </c>
    </row>
    <row r="21" spans="1:17" x14ac:dyDescent="0.3">
      <c r="A21" s="2" t="s">
        <v>98</v>
      </c>
      <c r="B21" s="2" t="s">
        <v>11</v>
      </c>
      <c r="C21" s="2" t="s">
        <v>23</v>
      </c>
      <c r="D21" s="2" t="s">
        <v>24</v>
      </c>
      <c r="E21" s="3" t="s">
        <v>94</v>
      </c>
      <c r="F21" s="2">
        <v>94110</v>
      </c>
      <c r="G21" s="2" t="s">
        <v>15</v>
      </c>
      <c r="H21" s="2">
        <v>334.36619999999999</v>
      </c>
      <c r="I21" s="2">
        <v>477.666</v>
      </c>
      <c r="J21" s="2">
        <v>2</v>
      </c>
      <c r="L21" s="2" t="s">
        <v>98</v>
      </c>
      <c r="M21" s="5" t="str" cm="1">
        <f t="array" ref="M21:O21">VLOOKUP(L21,A:J,{2,3,4},0)</f>
        <v>First Class</v>
      </c>
      <c r="N21" s="5" t="str">
        <v>Aaron Smayling</v>
      </c>
      <c r="O21" s="5" t="str">
        <v>Corporate</v>
      </c>
    </row>
    <row r="22" spans="1:17" x14ac:dyDescent="0.3">
      <c r="A22" s="2" t="s">
        <v>100</v>
      </c>
      <c r="B22" s="2" t="s">
        <v>101</v>
      </c>
      <c r="C22" s="2" t="s">
        <v>34</v>
      </c>
      <c r="D22" s="2" t="s">
        <v>24</v>
      </c>
      <c r="E22" s="3" t="s">
        <v>94</v>
      </c>
      <c r="F22" s="2">
        <v>90036</v>
      </c>
      <c r="G22" s="2" t="s">
        <v>21</v>
      </c>
      <c r="H22" s="2">
        <v>162.20400000000001</v>
      </c>
      <c r="I22" s="2">
        <v>231.72</v>
      </c>
      <c r="J22" s="2">
        <v>2</v>
      </c>
      <c r="L22" s="2" t="s">
        <v>100</v>
      </c>
      <c r="M22" s="5" t="str" cm="1">
        <f t="array" ref="M22:O22">VLOOKUP(L22,A:J,{2,3,4},0)</f>
        <v>Same Day</v>
      </c>
      <c r="N22" s="5" t="str">
        <v>Adam Hart</v>
      </c>
      <c r="O22" s="5" t="str">
        <v>Corporate</v>
      </c>
    </row>
    <row r="23" spans="1:17" x14ac:dyDescent="0.3">
      <c r="A23" s="2" t="s">
        <v>108</v>
      </c>
      <c r="B23" s="2" t="s">
        <v>101</v>
      </c>
      <c r="C23" s="2" t="s">
        <v>54</v>
      </c>
      <c r="D23" s="2" t="s">
        <v>19</v>
      </c>
      <c r="E23" s="2" t="s">
        <v>106</v>
      </c>
      <c r="F23" s="2">
        <v>85705</v>
      </c>
      <c r="G23" s="2" t="s">
        <v>15</v>
      </c>
      <c r="H23" s="2">
        <v>181.39520000000002</v>
      </c>
      <c r="I23" s="2">
        <v>259.13600000000002</v>
      </c>
      <c r="J23" s="2">
        <v>4</v>
      </c>
      <c r="L23" s="2" t="s">
        <v>108</v>
      </c>
      <c r="M23" s="5" t="str" cm="1">
        <f t="array" ref="M23:O23">VLOOKUP(L23,A:J,{2,3,4},0)</f>
        <v>Same Day</v>
      </c>
      <c r="N23" s="5" t="str">
        <v>Adrian Hane</v>
      </c>
      <c r="O23" s="5" t="str">
        <v>Home Office</v>
      </c>
    </row>
    <row r="24" spans="1:17" x14ac:dyDescent="0.3">
      <c r="A24" s="2" t="s">
        <v>74</v>
      </c>
      <c r="B24" s="2" t="s">
        <v>40</v>
      </c>
      <c r="C24" s="2" t="s">
        <v>28</v>
      </c>
      <c r="D24" s="2" t="s">
        <v>13</v>
      </c>
      <c r="E24" s="3" t="s">
        <v>75</v>
      </c>
      <c r="F24" s="2">
        <v>65807</v>
      </c>
      <c r="G24" s="2" t="s">
        <v>21</v>
      </c>
      <c r="H24" s="2">
        <v>65.94</v>
      </c>
      <c r="I24" s="2">
        <v>94.199999999999989</v>
      </c>
      <c r="J24" s="2">
        <v>6</v>
      </c>
      <c r="L24" s="2" t="s">
        <v>74</v>
      </c>
      <c r="M24" s="5" t="str" cm="1">
        <f t="array" ref="M24:O24">VLOOKUP(L24,A:J,{2,3,4},0)</f>
        <v>Second Class</v>
      </c>
      <c r="N24" s="5" t="str">
        <v>Adam Shillingsburg</v>
      </c>
      <c r="O24" s="5" t="str">
        <v>Consumer</v>
      </c>
    </row>
    <row r="25" spans="1:17" x14ac:dyDescent="0.3">
      <c r="A25" s="2" t="s">
        <v>57</v>
      </c>
      <c r="B25" s="2" t="s">
        <v>40</v>
      </c>
      <c r="C25" s="2" t="s">
        <v>34</v>
      </c>
      <c r="D25" s="2" t="s">
        <v>24</v>
      </c>
      <c r="E25" s="2" t="s">
        <v>58</v>
      </c>
      <c r="F25" s="2">
        <v>43229</v>
      </c>
      <c r="G25" s="2" t="s">
        <v>21</v>
      </c>
      <c r="H25" s="2">
        <v>2.1055999999999999</v>
      </c>
      <c r="I25" s="2">
        <v>3.008</v>
      </c>
      <c r="J25" s="2">
        <v>2</v>
      </c>
      <c r="L25" s="2" t="s">
        <v>57</v>
      </c>
      <c r="M25" s="5" t="str" cm="1">
        <f t="array" ref="M25:O25">VLOOKUP(L25,A:J,{2,3,4},0)</f>
        <v>Second Class</v>
      </c>
      <c r="N25" s="5" t="str">
        <v>Adam Hart</v>
      </c>
      <c r="O25" s="5" t="str">
        <v>Corporate</v>
      </c>
    </row>
    <row r="26" spans="1:17" x14ac:dyDescent="0.3">
      <c r="A26" s="2" t="s">
        <v>69</v>
      </c>
      <c r="B26" s="2" t="s">
        <v>40</v>
      </c>
      <c r="C26" s="2" t="s">
        <v>45</v>
      </c>
      <c r="D26" s="2" t="s">
        <v>24</v>
      </c>
      <c r="E26" s="2" t="s">
        <v>62</v>
      </c>
      <c r="F26" s="2">
        <v>12180</v>
      </c>
      <c r="G26" s="2" t="s">
        <v>21</v>
      </c>
      <c r="H26" s="2">
        <v>173.488</v>
      </c>
      <c r="I26" s="2">
        <v>247.84</v>
      </c>
      <c r="J26" s="2">
        <v>8</v>
      </c>
      <c r="L26" s="2" t="s">
        <v>69</v>
      </c>
      <c r="M26" s="5" t="str" cm="1">
        <f t="array" ref="M26:O26">VLOOKUP(L26,A:J,{2,3,4},0)</f>
        <v>Second Class</v>
      </c>
      <c r="N26" s="5" t="str">
        <v>Aaron Hawkins</v>
      </c>
      <c r="O26" s="5" t="str">
        <v>Corporate</v>
      </c>
    </row>
    <row r="27" spans="1:17" x14ac:dyDescent="0.3">
      <c r="A27" s="2" t="s">
        <v>90</v>
      </c>
      <c r="B27" s="2" t="s">
        <v>40</v>
      </c>
      <c r="C27" s="2" t="s">
        <v>54</v>
      </c>
      <c r="D27" s="2" t="s">
        <v>19</v>
      </c>
      <c r="E27" s="3" t="s">
        <v>88</v>
      </c>
      <c r="F27" s="2">
        <v>60505</v>
      </c>
      <c r="G27" s="2" t="s">
        <v>32</v>
      </c>
      <c r="H27" s="2">
        <v>35.084000000000003</v>
      </c>
      <c r="I27" s="2">
        <v>50.120000000000005</v>
      </c>
      <c r="J27" s="2">
        <v>7</v>
      </c>
      <c r="L27" s="2" t="s">
        <v>90</v>
      </c>
      <c r="M27" s="5" t="str" cm="1">
        <f t="array" ref="M27:O27">VLOOKUP(L27,A:J,{2,3,4},0)</f>
        <v>Second Class</v>
      </c>
      <c r="N27" s="5" t="str">
        <v>Adrian Hane</v>
      </c>
      <c r="O27" s="5" t="str">
        <v>Home Office</v>
      </c>
    </row>
    <row r="28" spans="1:17" x14ac:dyDescent="0.3">
      <c r="A28" s="2" t="s">
        <v>39</v>
      </c>
      <c r="B28" s="2" t="s">
        <v>40</v>
      </c>
      <c r="C28" s="2" t="s">
        <v>34</v>
      </c>
      <c r="D28" s="2" t="s">
        <v>24</v>
      </c>
      <c r="E28" s="2" t="s">
        <v>41</v>
      </c>
      <c r="F28" s="2">
        <v>37918</v>
      </c>
      <c r="G28" s="2" t="s">
        <v>15</v>
      </c>
      <c r="H28" s="2">
        <v>220.04639999999998</v>
      </c>
      <c r="I28" s="2">
        <v>314.35199999999998</v>
      </c>
      <c r="J28" s="2">
        <v>3</v>
      </c>
    </row>
    <row r="29" spans="1:17" x14ac:dyDescent="0.3">
      <c r="A29" s="2" t="s">
        <v>77</v>
      </c>
      <c r="B29" s="2" t="s">
        <v>40</v>
      </c>
      <c r="C29" s="2" t="s">
        <v>45</v>
      </c>
      <c r="D29" s="2" t="s">
        <v>24</v>
      </c>
      <c r="E29" s="3" t="s">
        <v>78</v>
      </c>
      <c r="F29" s="2">
        <v>39503</v>
      </c>
      <c r="G29" s="2" t="s">
        <v>15</v>
      </c>
      <c r="H29" s="2">
        <v>60.515000000000001</v>
      </c>
      <c r="I29" s="2">
        <v>86.45</v>
      </c>
      <c r="J29" s="2">
        <v>7</v>
      </c>
    </row>
    <row r="30" spans="1:17" x14ac:dyDescent="0.3">
      <c r="A30" s="2" t="s">
        <v>29</v>
      </c>
      <c r="B30" s="2" t="s">
        <v>17</v>
      </c>
      <c r="C30" s="2" t="s">
        <v>12</v>
      </c>
      <c r="D30" s="2" t="s">
        <v>13</v>
      </c>
      <c r="E30" s="2" t="s">
        <v>30</v>
      </c>
      <c r="F30" s="2">
        <v>76017</v>
      </c>
      <c r="G30" s="2" t="s">
        <v>21</v>
      </c>
      <c r="H30" s="2">
        <v>8.8368000000000002</v>
      </c>
      <c r="I30" s="2">
        <v>12.624000000000001</v>
      </c>
      <c r="J30" s="2">
        <v>2</v>
      </c>
    </row>
    <row r="31" spans="1:17" x14ac:dyDescent="0.3">
      <c r="A31" s="2" t="s">
        <v>35</v>
      </c>
      <c r="B31" s="2" t="s">
        <v>17</v>
      </c>
      <c r="C31" s="2" t="s">
        <v>28</v>
      </c>
      <c r="D31" s="2" t="s">
        <v>13</v>
      </c>
      <c r="E31" s="2" t="s">
        <v>30</v>
      </c>
      <c r="F31" s="2">
        <v>75061</v>
      </c>
      <c r="G31" s="2" t="s">
        <v>21</v>
      </c>
      <c r="H31" s="2">
        <v>13.255199999999999</v>
      </c>
      <c r="I31" s="2">
        <v>18.936</v>
      </c>
      <c r="J31" s="2">
        <v>3</v>
      </c>
    </row>
    <row r="32" spans="1:17" x14ac:dyDescent="0.3">
      <c r="A32" s="2" t="s">
        <v>38</v>
      </c>
      <c r="B32" s="2" t="s">
        <v>17</v>
      </c>
      <c r="C32" s="2" t="s">
        <v>37</v>
      </c>
      <c r="D32" s="2" t="s">
        <v>13</v>
      </c>
      <c r="E32" s="2" t="s">
        <v>30</v>
      </c>
      <c r="F32" s="2">
        <v>77041</v>
      </c>
      <c r="G32" s="2" t="s">
        <v>21</v>
      </c>
      <c r="H32" s="2">
        <v>16.548000000000002</v>
      </c>
      <c r="I32" s="2">
        <v>23.64</v>
      </c>
      <c r="J32" s="2">
        <v>3</v>
      </c>
    </row>
    <row r="33" spans="1:10" x14ac:dyDescent="0.3">
      <c r="A33" s="2" t="s">
        <v>65</v>
      </c>
      <c r="B33" s="2" t="s">
        <v>17</v>
      </c>
      <c r="C33" s="2" t="s">
        <v>28</v>
      </c>
      <c r="D33" s="2" t="s">
        <v>13</v>
      </c>
      <c r="E33" s="3" t="s">
        <v>62</v>
      </c>
      <c r="F33" s="2">
        <v>10011</v>
      </c>
      <c r="G33" s="2" t="s">
        <v>21</v>
      </c>
      <c r="H33" s="2">
        <v>25.591999999999999</v>
      </c>
      <c r="I33" s="2">
        <v>36.56</v>
      </c>
      <c r="J33" s="2">
        <v>5</v>
      </c>
    </row>
    <row r="34" spans="1:10" x14ac:dyDescent="0.3">
      <c r="A34" s="2" t="s">
        <v>67</v>
      </c>
      <c r="B34" s="2" t="s">
        <v>17</v>
      </c>
      <c r="C34" s="2" t="s">
        <v>37</v>
      </c>
      <c r="D34" s="2" t="s">
        <v>13</v>
      </c>
      <c r="E34" s="3" t="s">
        <v>62</v>
      </c>
      <c r="F34" s="2">
        <v>10011</v>
      </c>
      <c r="G34" s="2" t="s">
        <v>21</v>
      </c>
      <c r="H34" s="2">
        <v>82.572000000000003</v>
      </c>
      <c r="I34" s="2">
        <v>117.96</v>
      </c>
      <c r="J34" s="2">
        <v>2</v>
      </c>
    </row>
    <row r="35" spans="1:10" x14ac:dyDescent="0.3">
      <c r="A35" s="2" t="s">
        <v>76</v>
      </c>
      <c r="B35" s="2" t="s">
        <v>17</v>
      </c>
      <c r="C35" s="2" t="s">
        <v>28</v>
      </c>
      <c r="D35" s="2" t="s">
        <v>13</v>
      </c>
      <c r="E35" s="3" t="s">
        <v>75</v>
      </c>
      <c r="F35" s="2">
        <v>65807</v>
      </c>
      <c r="G35" s="2" t="s">
        <v>21</v>
      </c>
      <c r="H35" s="2">
        <v>12.053999999999998</v>
      </c>
      <c r="I35" s="2">
        <v>17.22</v>
      </c>
      <c r="J35" s="2">
        <v>3</v>
      </c>
    </row>
    <row r="36" spans="1:10" x14ac:dyDescent="0.3">
      <c r="A36" s="2" t="s">
        <v>79</v>
      </c>
      <c r="B36" s="2" t="s">
        <v>17</v>
      </c>
      <c r="C36" s="2" t="s">
        <v>37</v>
      </c>
      <c r="D36" s="2" t="s">
        <v>13</v>
      </c>
      <c r="E36" s="3" t="s">
        <v>80</v>
      </c>
      <c r="F36" s="2">
        <v>48205</v>
      </c>
      <c r="G36" s="2" t="s">
        <v>21</v>
      </c>
      <c r="H36" s="2">
        <v>6924.9179999999997</v>
      </c>
      <c r="I36" s="2">
        <v>9892.74</v>
      </c>
      <c r="J36" s="2">
        <v>13</v>
      </c>
    </row>
    <row r="37" spans="1:10" x14ac:dyDescent="0.3">
      <c r="A37" s="2" t="s">
        <v>87</v>
      </c>
      <c r="B37" s="2" t="s">
        <v>17</v>
      </c>
      <c r="C37" s="2" t="s">
        <v>28</v>
      </c>
      <c r="D37" s="2" t="s">
        <v>13</v>
      </c>
      <c r="E37" s="3" t="s">
        <v>88</v>
      </c>
      <c r="F37" s="2">
        <v>60653</v>
      </c>
      <c r="G37" s="2" t="s">
        <v>21</v>
      </c>
      <c r="H37" s="2">
        <v>4.2</v>
      </c>
      <c r="I37" s="2">
        <v>6</v>
      </c>
      <c r="J37" s="2">
        <v>2</v>
      </c>
    </row>
    <row r="38" spans="1:10" x14ac:dyDescent="0.3">
      <c r="A38" s="2" t="s">
        <v>105</v>
      </c>
      <c r="B38" s="2" t="s">
        <v>17</v>
      </c>
      <c r="C38" s="2" t="s">
        <v>37</v>
      </c>
      <c r="D38" s="2" t="s">
        <v>13</v>
      </c>
      <c r="E38" s="2" t="s">
        <v>106</v>
      </c>
      <c r="F38" s="2">
        <v>85023</v>
      </c>
      <c r="G38" s="2" t="s">
        <v>21</v>
      </c>
      <c r="H38" s="2">
        <v>8.8368000000000002</v>
      </c>
      <c r="I38" s="2">
        <v>12.624000000000001</v>
      </c>
      <c r="J38" s="2">
        <v>2</v>
      </c>
    </row>
    <row r="39" spans="1:10" x14ac:dyDescent="0.3">
      <c r="A39" s="2" t="s">
        <v>33</v>
      </c>
      <c r="B39" s="2" t="s">
        <v>17</v>
      </c>
      <c r="C39" s="2" t="s">
        <v>34</v>
      </c>
      <c r="D39" s="2" t="s">
        <v>24</v>
      </c>
      <c r="E39" s="2" t="s">
        <v>30</v>
      </c>
      <c r="F39" s="2">
        <v>76017</v>
      </c>
      <c r="G39" s="2" t="s">
        <v>21</v>
      </c>
      <c r="H39" s="2">
        <v>36.288000000000011</v>
      </c>
      <c r="I39" s="2">
        <v>51.840000000000011</v>
      </c>
      <c r="J39" s="2">
        <v>10</v>
      </c>
    </row>
    <row r="40" spans="1:10" x14ac:dyDescent="0.3">
      <c r="A40" s="2" t="s">
        <v>44</v>
      </c>
      <c r="B40" s="2" t="s">
        <v>17</v>
      </c>
      <c r="C40" s="2" t="s">
        <v>45</v>
      </c>
      <c r="D40" s="2" t="s">
        <v>24</v>
      </c>
      <c r="E40" s="2" t="s">
        <v>46</v>
      </c>
      <c r="F40" s="2">
        <v>19134</v>
      </c>
      <c r="G40" s="2" t="s">
        <v>21</v>
      </c>
      <c r="H40" s="2">
        <v>13.0928</v>
      </c>
      <c r="I40" s="2">
        <v>18.704000000000001</v>
      </c>
      <c r="J40" s="2">
        <v>7</v>
      </c>
    </row>
    <row r="41" spans="1:10" x14ac:dyDescent="0.3">
      <c r="A41" s="2" t="s">
        <v>61</v>
      </c>
      <c r="B41" s="2" t="s">
        <v>17</v>
      </c>
      <c r="C41" s="2" t="s">
        <v>23</v>
      </c>
      <c r="D41" s="2" t="s">
        <v>24</v>
      </c>
      <c r="E41" s="3" t="s">
        <v>62</v>
      </c>
      <c r="F41" s="2">
        <v>10035</v>
      </c>
      <c r="G41" s="2" t="s">
        <v>21</v>
      </c>
      <c r="H41" s="2">
        <v>46.045999999999999</v>
      </c>
      <c r="I41" s="2">
        <v>65.78</v>
      </c>
      <c r="J41" s="2">
        <v>11</v>
      </c>
    </row>
    <row r="42" spans="1:10" x14ac:dyDescent="0.3">
      <c r="A42" s="2" t="s">
        <v>64</v>
      </c>
      <c r="B42" s="2" t="s">
        <v>17</v>
      </c>
      <c r="C42" s="2" t="s">
        <v>34</v>
      </c>
      <c r="D42" s="2" t="s">
        <v>24</v>
      </c>
      <c r="E42" s="3" t="s">
        <v>62</v>
      </c>
      <c r="F42" s="2">
        <v>10011</v>
      </c>
      <c r="G42" s="2" t="s">
        <v>21</v>
      </c>
      <c r="H42" s="2">
        <v>589.09760000000006</v>
      </c>
      <c r="I42" s="2">
        <v>841.5680000000001</v>
      </c>
      <c r="J42" s="2">
        <v>2</v>
      </c>
    </row>
    <row r="43" spans="1:10" x14ac:dyDescent="0.3">
      <c r="A43" s="2" t="s">
        <v>91</v>
      </c>
      <c r="B43" s="2" t="s">
        <v>17</v>
      </c>
      <c r="C43" s="2" t="s">
        <v>34</v>
      </c>
      <c r="D43" s="2" t="s">
        <v>24</v>
      </c>
      <c r="E43" s="3" t="s">
        <v>92</v>
      </c>
      <c r="F43" s="2">
        <v>30318</v>
      </c>
      <c r="G43" s="2" t="s">
        <v>21</v>
      </c>
      <c r="H43" s="2">
        <v>8.9879999999999995</v>
      </c>
      <c r="I43" s="2">
        <v>12.84</v>
      </c>
      <c r="J43" s="2">
        <v>3</v>
      </c>
    </row>
    <row r="44" spans="1:10" x14ac:dyDescent="0.3">
      <c r="A44" s="2" t="s">
        <v>93</v>
      </c>
      <c r="B44" s="2" t="s">
        <v>17</v>
      </c>
      <c r="C44" s="2" t="s">
        <v>45</v>
      </c>
      <c r="D44" s="2" t="s">
        <v>24</v>
      </c>
      <c r="E44" s="3" t="s">
        <v>94</v>
      </c>
      <c r="F44" s="2">
        <v>94122</v>
      </c>
      <c r="G44" s="2" t="s">
        <v>21</v>
      </c>
      <c r="H44" s="2">
        <v>226.17000000000002</v>
      </c>
      <c r="I44" s="2">
        <v>323.10000000000002</v>
      </c>
      <c r="J44" s="2">
        <v>2</v>
      </c>
    </row>
    <row r="45" spans="1:10" x14ac:dyDescent="0.3">
      <c r="A45" s="2" t="s">
        <v>102</v>
      </c>
      <c r="B45" s="2" t="s">
        <v>17</v>
      </c>
      <c r="C45" s="2" t="s">
        <v>34</v>
      </c>
      <c r="D45" s="2" t="s">
        <v>24</v>
      </c>
      <c r="E45" s="3" t="s">
        <v>94</v>
      </c>
      <c r="F45" s="2">
        <v>92646</v>
      </c>
      <c r="G45" s="2" t="s">
        <v>21</v>
      </c>
      <c r="H45" s="2">
        <v>3.6539999999999999</v>
      </c>
      <c r="I45" s="2">
        <v>5.22</v>
      </c>
      <c r="J45" s="2">
        <v>2</v>
      </c>
    </row>
    <row r="46" spans="1:10" x14ac:dyDescent="0.3">
      <c r="A46" s="2" t="s">
        <v>20</v>
      </c>
      <c r="B46" s="2" t="s">
        <v>17</v>
      </c>
      <c r="C46" s="2" t="s">
        <v>18</v>
      </c>
      <c r="D46" s="2" t="s">
        <v>19</v>
      </c>
      <c r="E46" s="2" t="s">
        <v>14</v>
      </c>
      <c r="F46" s="2">
        <v>98198</v>
      </c>
      <c r="G46" s="2" t="s">
        <v>21</v>
      </c>
      <c r="H46" s="2">
        <v>12.978</v>
      </c>
      <c r="I46" s="2">
        <v>18.54</v>
      </c>
      <c r="J46" s="2">
        <v>2</v>
      </c>
    </row>
    <row r="47" spans="1:10" x14ac:dyDescent="0.3">
      <c r="A47" s="2" t="s">
        <v>47</v>
      </c>
      <c r="B47" s="2" t="s">
        <v>17</v>
      </c>
      <c r="C47" s="2" t="s">
        <v>18</v>
      </c>
      <c r="D47" s="2" t="s">
        <v>19</v>
      </c>
      <c r="E47" s="2" t="s">
        <v>46</v>
      </c>
      <c r="F47" s="2">
        <v>19143</v>
      </c>
      <c r="G47" s="2" t="s">
        <v>21</v>
      </c>
      <c r="H47" s="2">
        <v>14.515200000000004</v>
      </c>
      <c r="I47" s="2">
        <v>20.736000000000004</v>
      </c>
      <c r="J47" s="2">
        <v>4</v>
      </c>
    </row>
    <row r="48" spans="1:10" x14ac:dyDescent="0.3">
      <c r="A48" s="2" t="s">
        <v>70</v>
      </c>
      <c r="B48" s="2" t="s">
        <v>17</v>
      </c>
      <c r="C48" s="2" t="s">
        <v>18</v>
      </c>
      <c r="D48" s="2" t="s">
        <v>19</v>
      </c>
      <c r="E48" s="3" t="s">
        <v>71</v>
      </c>
      <c r="F48" s="2">
        <v>3301</v>
      </c>
      <c r="G48" s="2" t="s">
        <v>21</v>
      </c>
      <c r="H48" s="2">
        <v>19.551000000000002</v>
      </c>
      <c r="I48" s="2">
        <v>27.93</v>
      </c>
      <c r="J48" s="2">
        <v>3</v>
      </c>
    </row>
    <row r="49" spans="1:10" x14ac:dyDescent="0.3">
      <c r="A49" s="2" t="s">
        <v>83</v>
      </c>
      <c r="B49" s="2" t="s">
        <v>17</v>
      </c>
      <c r="C49" s="2" t="s">
        <v>54</v>
      </c>
      <c r="D49" s="2" t="s">
        <v>19</v>
      </c>
      <c r="E49" s="3" t="s">
        <v>82</v>
      </c>
      <c r="F49" s="2">
        <v>40214</v>
      </c>
      <c r="G49" s="2" t="s">
        <v>21</v>
      </c>
      <c r="H49" s="2">
        <v>72.051000000000002</v>
      </c>
      <c r="I49" s="2">
        <v>102.93</v>
      </c>
      <c r="J49" s="2">
        <v>3</v>
      </c>
    </row>
    <row r="50" spans="1:10" x14ac:dyDescent="0.3">
      <c r="A50" s="2" t="s">
        <v>104</v>
      </c>
      <c r="B50" s="2" t="s">
        <v>17</v>
      </c>
      <c r="C50" s="2" t="s">
        <v>54</v>
      </c>
      <c r="D50" s="2" t="s">
        <v>19</v>
      </c>
      <c r="E50" s="3" t="s">
        <v>94</v>
      </c>
      <c r="F50" s="2">
        <v>94110</v>
      </c>
      <c r="G50" s="2" t="s">
        <v>21</v>
      </c>
      <c r="H50" s="2">
        <v>171.185</v>
      </c>
      <c r="I50" s="2">
        <v>244.54999999999998</v>
      </c>
      <c r="J50" s="2">
        <v>5</v>
      </c>
    </row>
    <row r="51" spans="1:10" x14ac:dyDescent="0.3">
      <c r="A51" s="2" t="s">
        <v>89</v>
      </c>
      <c r="B51" s="2" t="s">
        <v>17</v>
      </c>
      <c r="C51" s="2" t="s">
        <v>37</v>
      </c>
      <c r="D51" s="2" t="s">
        <v>13</v>
      </c>
      <c r="E51" s="3" t="s">
        <v>88</v>
      </c>
      <c r="F51" s="2">
        <v>61701</v>
      </c>
      <c r="G51" s="2" t="s">
        <v>32</v>
      </c>
      <c r="H51" s="2">
        <v>27.871200000000002</v>
      </c>
      <c r="I51" s="2">
        <v>39.816000000000003</v>
      </c>
      <c r="J51" s="2">
        <v>3</v>
      </c>
    </row>
    <row r="52" spans="1:10" x14ac:dyDescent="0.3">
      <c r="A52" s="2" t="s">
        <v>31</v>
      </c>
      <c r="B52" s="2" t="s">
        <v>17</v>
      </c>
      <c r="C52" s="2" t="s">
        <v>23</v>
      </c>
      <c r="D52" s="2" t="s">
        <v>24</v>
      </c>
      <c r="E52" s="2" t="s">
        <v>30</v>
      </c>
      <c r="F52" s="2">
        <v>78745</v>
      </c>
      <c r="G52" s="2" t="s">
        <v>32</v>
      </c>
      <c r="H52" s="2">
        <v>1007.9874</v>
      </c>
      <c r="I52" s="2">
        <v>1439.982</v>
      </c>
      <c r="J52" s="2">
        <v>3</v>
      </c>
    </row>
    <row r="53" spans="1:10" x14ac:dyDescent="0.3">
      <c r="A53" s="2" t="s">
        <v>99</v>
      </c>
      <c r="B53" s="2" t="s">
        <v>17</v>
      </c>
      <c r="C53" s="2" t="s">
        <v>18</v>
      </c>
      <c r="D53" s="2" t="s">
        <v>19</v>
      </c>
      <c r="E53" s="3" t="s">
        <v>94</v>
      </c>
      <c r="F53" s="2">
        <v>90004</v>
      </c>
      <c r="G53" s="2" t="s">
        <v>32</v>
      </c>
      <c r="H53" s="2">
        <v>55.992999999999995</v>
      </c>
      <c r="I53" s="2">
        <v>79.989999999999995</v>
      </c>
      <c r="J53" s="2">
        <v>1</v>
      </c>
    </row>
    <row r="54" spans="1:10" x14ac:dyDescent="0.3">
      <c r="A54" s="2" t="s">
        <v>66</v>
      </c>
      <c r="B54" s="2" t="s">
        <v>17</v>
      </c>
      <c r="C54" s="2" t="s">
        <v>28</v>
      </c>
      <c r="D54" s="2" t="s">
        <v>13</v>
      </c>
      <c r="E54" s="3" t="s">
        <v>62</v>
      </c>
      <c r="F54" s="2">
        <v>10035</v>
      </c>
      <c r="G54" s="2" t="s">
        <v>15</v>
      </c>
      <c r="H54" s="2">
        <v>68.207999999999998</v>
      </c>
      <c r="I54" s="2">
        <v>97.44</v>
      </c>
      <c r="J54" s="2">
        <v>3</v>
      </c>
    </row>
    <row r="55" spans="1:10" x14ac:dyDescent="0.3">
      <c r="A55" s="2" t="s">
        <v>81</v>
      </c>
      <c r="B55" s="2" t="s">
        <v>17</v>
      </c>
      <c r="C55" s="2" t="s">
        <v>37</v>
      </c>
      <c r="D55" s="2" t="s">
        <v>13</v>
      </c>
      <c r="E55" s="3" t="s">
        <v>82</v>
      </c>
      <c r="F55" s="2">
        <v>42420</v>
      </c>
      <c r="G55" s="2" t="s">
        <v>15</v>
      </c>
      <c r="H55" s="2">
        <v>575.31599999999992</v>
      </c>
      <c r="I55" s="2">
        <v>821.87999999999988</v>
      </c>
      <c r="J55" s="2">
        <v>6</v>
      </c>
    </row>
    <row r="56" spans="1:10" x14ac:dyDescent="0.3">
      <c r="A56" s="2" t="s">
        <v>107</v>
      </c>
      <c r="B56" s="2" t="s">
        <v>17</v>
      </c>
      <c r="C56" s="2" t="s">
        <v>37</v>
      </c>
      <c r="D56" s="2" t="s">
        <v>13</v>
      </c>
      <c r="E56" s="2" t="s">
        <v>106</v>
      </c>
      <c r="F56" s="2">
        <v>85023</v>
      </c>
      <c r="G56" s="2" t="s">
        <v>15</v>
      </c>
      <c r="H56" s="2">
        <v>275.21550000000002</v>
      </c>
      <c r="I56" s="2">
        <v>393.16500000000002</v>
      </c>
      <c r="J56" s="2">
        <v>3</v>
      </c>
    </row>
    <row r="57" spans="1:10" x14ac:dyDescent="0.3">
      <c r="A57" s="2" t="s">
        <v>96</v>
      </c>
      <c r="B57" s="2" t="s">
        <v>17</v>
      </c>
      <c r="C57" s="2" t="s">
        <v>45</v>
      </c>
      <c r="D57" s="2" t="s">
        <v>24</v>
      </c>
      <c r="E57" s="3" t="s">
        <v>94</v>
      </c>
      <c r="F57" s="2">
        <v>90004</v>
      </c>
      <c r="G57" s="2" t="s">
        <v>15</v>
      </c>
      <c r="H57" s="2">
        <v>195.61920000000003</v>
      </c>
      <c r="I57" s="2">
        <v>279.45600000000002</v>
      </c>
      <c r="J57" s="2">
        <v>6</v>
      </c>
    </row>
    <row r="58" spans="1:10" x14ac:dyDescent="0.3">
      <c r="A58" s="2" t="s">
        <v>97</v>
      </c>
      <c r="B58" s="2" t="s">
        <v>17</v>
      </c>
      <c r="C58" s="2" t="s">
        <v>23</v>
      </c>
      <c r="D58" s="2" t="s">
        <v>24</v>
      </c>
      <c r="E58" s="3" t="s">
        <v>94</v>
      </c>
      <c r="F58" s="2">
        <v>91104</v>
      </c>
      <c r="G58" s="2" t="s">
        <v>15</v>
      </c>
      <c r="H58" s="2">
        <v>119.9016</v>
      </c>
      <c r="I58" s="2">
        <v>171.28800000000001</v>
      </c>
      <c r="J58" s="2">
        <v>3</v>
      </c>
    </row>
    <row r="59" spans="1:10" x14ac:dyDescent="0.3">
      <c r="A59" s="2" t="s">
        <v>16</v>
      </c>
      <c r="B59" s="2" t="s">
        <v>17</v>
      </c>
      <c r="C59" s="2" t="s">
        <v>18</v>
      </c>
      <c r="D59" s="2" t="s">
        <v>19</v>
      </c>
      <c r="E59" s="2" t="s">
        <v>14</v>
      </c>
      <c r="F59" s="2">
        <v>98105</v>
      </c>
      <c r="G59" s="2" t="s">
        <v>15</v>
      </c>
      <c r="H59" s="2">
        <v>1425.8020000000001</v>
      </c>
      <c r="I59" s="2">
        <v>2036.8600000000001</v>
      </c>
      <c r="J59" s="2">
        <v>7</v>
      </c>
    </row>
    <row r="60" spans="1:10" x14ac:dyDescent="0.3">
      <c r="A60" s="2" t="s">
        <v>26</v>
      </c>
      <c r="B60" s="2" t="s">
        <v>17</v>
      </c>
      <c r="C60" s="2" t="s">
        <v>18</v>
      </c>
      <c r="D60" s="2" t="s">
        <v>19</v>
      </c>
      <c r="E60" s="2" t="s">
        <v>25</v>
      </c>
      <c r="F60" s="2">
        <v>22980</v>
      </c>
      <c r="G60" s="2" t="s">
        <v>15</v>
      </c>
      <c r="H60" s="2">
        <v>89.515999999999991</v>
      </c>
      <c r="I60" s="2">
        <v>127.88</v>
      </c>
      <c r="J60" s="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F146-C16D-4DBD-B409-1A75E2123912}">
  <dimension ref="A1:M178"/>
  <sheetViews>
    <sheetView topLeftCell="A46" workbookViewId="0">
      <selection activeCell="G11" sqref="G11"/>
    </sheetView>
  </sheetViews>
  <sheetFormatPr defaultRowHeight="14.4" x14ac:dyDescent="0.3"/>
  <cols>
    <col min="1" max="1" width="14.88671875" bestFit="1" customWidth="1"/>
    <col min="2" max="2" width="14.44140625" bestFit="1" customWidth="1"/>
    <col min="3" max="3" width="18.44140625" bestFit="1" customWidth="1"/>
    <col min="4" max="4" width="11.6640625" bestFit="1" customWidth="1"/>
    <col min="5" max="5" width="15.109375" style="11" bestFit="1" customWidth="1"/>
    <col min="6" max="6" width="13.88671875" customWidth="1"/>
    <col min="7" max="7" width="11.109375" customWidth="1"/>
    <col min="8" max="8" width="15.6640625" customWidth="1"/>
    <col min="9" max="9" width="9" bestFit="1" customWidth="1"/>
    <col min="10" max="10" width="10.77734375" customWidth="1"/>
    <col min="11" max="11" width="9" customWidth="1"/>
    <col min="12" max="12" width="10" bestFit="1" customWidth="1"/>
    <col min="13" max="13" width="14.6640625" customWidth="1"/>
    <col min="15" max="15" width="13.33203125" bestFit="1" customWidth="1"/>
  </cols>
  <sheetData>
    <row r="1" spans="1:13" ht="15.6" x14ac:dyDescent="0.3">
      <c r="A1" s="17" t="s">
        <v>0</v>
      </c>
      <c r="B1" s="18" t="s">
        <v>1</v>
      </c>
      <c r="C1" s="19" t="s">
        <v>2</v>
      </c>
      <c r="D1" s="20" t="s">
        <v>3</v>
      </c>
      <c r="E1" s="20" t="s">
        <v>4</v>
      </c>
      <c r="F1" s="20" t="s">
        <v>5</v>
      </c>
      <c r="G1" s="20" t="s">
        <v>6</v>
      </c>
      <c r="H1" s="20" t="s">
        <v>7</v>
      </c>
      <c r="I1" s="20" t="s">
        <v>8</v>
      </c>
      <c r="J1" s="20" t="s">
        <v>9</v>
      </c>
      <c r="K1" s="20" t="s">
        <v>120</v>
      </c>
      <c r="L1" s="20" t="s">
        <v>121</v>
      </c>
      <c r="M1" s="21" t="s">
        <v>122</v>
      </c>
    </row>
    <row r="2" spans="1:13" x14ac:dyDescent="0.3">
      <c r="A2" s="15" t="s">
        <v>27</v>
      </c>
      <c r="B2" s="2" t="s">
        <v>11</v>
      </c>
      <c r="C2" s="12" t="s">
        <v>28</v>
      </c>
      <c r="D2" s="13" t="s">
        <v>13</v>
      </c>
      <c r="E2" s="14" t="s">
        <v>25</v>
      </c>
      <c r="F2" s="13">
        <v>22901</v>
      </c>
      <c r="G2" s="13" t="s">
        <v>21</v>
      </c>
      <c r="H2" s="13">
        <v>24.255000000000003</v>
      </c>
      <c r="I2" s="13">
        <v>34.650000000000006</v>
      </c>
      <c r="J2" s="13">
        <v>3</v>
      </c>
      <c r="K2" s="13">
        <f>I2*J2</f>
        <v>103.95000000000002</v>
      </c>
      <c r="L2" s="13">
        <f>J2*(I2-H2)</f>
        <v>31.185000000000009</v>
      </c>
      <c r="M2" s="16">
        <f>L2/K2</f>
        <v>0.30000000000000004</v>
      </c>
    </row>
    <row r="3" spans="1:13" x14ac:dyDescent="0.3">
      <c r="A3" s="15" t="s">
        <v>86</v>
      </c>
      <c r="B3" s="2" t="s">
        <v>11</v>
      </c>
      <c r="C3" s="12" t="s">
        <v>37</v>
      </c>
      <c r="D3" s="13" t="s">
        <v>13</v>
      </c>
      <c r="E3" s="14" t="s">
        <v>85</v>
      </c>
      <c r="F3" s="13">
        <v>46203</v>
      </c>
      <c r="G3" s="13" t="s">
        <v>21</v>
      </c>
      <c r="H3" s="13">
        <v>2.5830000000000002</v>
      </c>
      <c r="I3" s="13">
        <v>3.69</v>
      </c>
      <c r="J3" s="13">
        <v>1</v>
      </c>
      <c r="K3" s="13">
        <f>I3*J3</f>
        <v>3.69</v>
      </c>
      <c r="L3" s="13">
        <f>J3*(I3-H3)</f>
        <v>1.1069999999999998</v>
      </c>
      <c r="M3" s="16">
        <f>L3/K3</f>
        <v>0.29999999999999993</v>
      </c>
    </row>
    <row r="4" spans="1:13" x14ac:dyDescent="0.3">
      <c r="A4" s="15" t="s">
        <v>103</v>
      </c>
      <c r="B4" s="2" t="s">
        <v>11</v>
      </c>
      <c r="C4" s="12" t="s">
        <v>28</v>
      </c>
      <c r="D4" s="13" t="s">
        <v>13</v>
      </c>
      <c r="E4" s="14" t="s">
        <v>94</v>
      </c>
      <c r="F4" s="13">
        <v>92037</v>
      </c>
      <c r="G4" s="13" t="s">
        <v>21</v>
      </c>
      <c r="H4" s="13">
        <v>9.7789999999999999</v>
      </c>
      <c r="I4" s="13">
        <v>13.97</v>
      </c>
      <c r="J4" s="13">
        <v>1</v>
      </c>
      <c r="K4" s="13">
        <f>I4*J4</f>
        <v>13.97</v>
      </c>
      <c r="L4" s="13">
        <f>J4*(I4-H4)</f>
        <v>4.1910000000000007</v>
      </c>
      <c r="M4" s="16">
        <f>L4/K4</f>
        <v>0.30000000000000004</v>
      </c>
    </row>
    <row r="5" spans="1:13" x14ac:dyDescent="0.3">
      <c r="A5" s="15" t="s">
        <v>22</v>
      </c>
      <c r="B5" s="2" t="s">
        <v>11</v>
      </c>
      <c r="C5" s="12" t="s">
        <v>23</v>
      </c>
      <c r="D5" s="13" t="s">
        <v>24</v>
      </c>
      <c r="E5" s="14" t="s">
        <v>25</v>
      </c>
      <c r="F5" s="13">
        <v>22204</v>
      </c>
      <c r="G5" s="13" t="s">
        <v>21</v>
      </c>
      <c r="H5" s="13">
        <v>21.979999999999997</v>
      </c>
      <c r="I5" s="13">
        <v>31.4</v>
      </c>
      <c r="J5" s="13">
        <v>2</v>
      </c>
      <c r="K5" s="13">
        <f>I5*J5</f>
        <v>62.8</v>
      </c>
      <c r="L5" s="13">
        <f>J5*(I5-H5)</f>
        <v>18.840000000000003</v>
      </c>
      <c r="M5" s="16">
        <f>L5/K5</f>
        <v>0.30000000000000004</v>
      </c>
    </row>
    <row r="6" spans="1:13" x14ac:dyDescent="0.3">
      <c r="A6" s="15" t="s">
        <v>48</v>
      </c>
      <c r="B6" s="2" t="s">
        <v>11</v>
      </c>
      <c r="C6" s="12" t="s">
        <v>34</v>
      </c>
      <c r="D6" s="13" t="s">
        <v>24</v>
      </c>
      <c r="E6" s="14" t="s">
        <v>46</v>
      </c>
      <c r="F6" s="13">
        <v>19013</v>
      </c>
      <c r="G6" s="13" t="s">
        <v>21</v>
      </c>
      <c r="H6" s="13">
        <v>6.0165000000000015</v>
      </c>
      <c r="I6" s="13">
        <v>8.5950000000000024</v>
      </c>
      <c r="J6" s="13">
        <v>5</v>
      </c>
      <c r="K6" s="13">
        <f>I6*J6</f>
        <v>42.975000000000009</v>
      </c>
      <c r="L6" s="13">
        <f>J6*(I6-H6)</f>
        <v>12.892500000000005</v>
      </c>
      <c r="M6" s="16">
        <f>L6/K6</f>
        <v>0.30000000000000004</v>
      </c>
    </row>
    <row r="7" spans="1:13" x14ac:dyDescent="0.3">
      <c r="A7" s="15" t="s">
        <v>50</v>
      </c>
      <c r="B7" s="2" t="s">
        <v>11</v>
      </c>
      <c r="C7" s="12" t="s">
        <v>23</v>
      </c>
      <c r="D7" s="13" t="s">
        <v>24</v>
      </c>
      <c r="E7" s="14" t="s">
        <v>51</v>
      </c>
      <c r="F7" s="13">
        <v>97756</v>
      </c>
      <c r="G7" s="13" t="s">
        <v>21</v>
      </c>
      <c r="H7" s="13">
        <v>61.651800000000009</v>
      </c>
      <c r="I7" s="13">
        <v>88.074000000000012</v>
      </c>
      <c r="J7" s="13">
        <v>7</v>
      </c>
      <c r="K7" s="13">
        <f>I7*J7</f>
        <v>616.51800000000003</v>
      </c>
      <c r="L7" s="13">
        <f>J7*(I7-H7)</f>
        <v>184.95540000000003</v>
      </c>
      <c r="M7" s="16">
        <f>L7/K7</f>
        <v>0.30000000000000004</v>
      </c>
    </row>
    <row r="8" spans="1:13" x14ac:dyDescent="0.3">
      <c r="A8" s="15" t="s">
        <v>95</v>
      </c>
      <c r="B8" s="2" t="s">
        <v>11</v>
      </c>
      <c r="C8" s="12" t="s">
        <v>45</v>
      </c>
      <c r="D8" s="13" t="s">
        <v>24</v>
      </c>
      <c r="E8" s="14" t="s">
        <v>94</v>
      </c>
      <c r="F8" s="13">
        <v>94109</v>
      </c>
      <c r="G8" s="13" t="s">
        <v>21</v>
      </c>
      <c r="H8" s="13">
        <v>34.585599999999999</v>
      </c>
      <c r="I8" s="13">
        <v>49.408000000000001</v>
      </c>
      <c r="J8" s="13">
        <v>4</v>
      </c>
      <c r="K8" s="13">
        <f>I8*J8</f>
        <v>197.63200000000001</v>
      </c>
      <c r="L8" s="13">
        <f>J8*(I8-H8)</f>
        <v>59.289600000000007</v>
      </c>
      <c r="M8" s="16">
        <f>L8/K8</f>
        <v>0.30000000000000004</v>
      </c>
    </row>
    <row r="9" spans="1:13" x14ac:dyDescent="0.3">
      <c r="A9" s="15" t="s">
        <v>53</v>
      </c>
      <c r="B9" s="2" t="s">
        <v>11</v>
      </c>
      <c r="C9" s="12" t="s">
        <v>54</v>
      </c>
      <c r="D9" s="13" t="s">
        <v>19</v>
      </c>
      <c r="E9" s="14" t="s">
        <v>51</v>
      </c>
      <c r="F9" s="13">
        <v>97301</v>
      </c>
      <c r="G9" s="13" t="s">
        <v>21</v>
      </c>
      <c r="H9" s="13">
        <v>31.668000000000006</v>
      </c>
      <c r="I9" s="13">
        <v>45.240000000000009</v>
      </c>
      <c r="J9" s="13">
        <v>4</v>
      </c>
      <c r="K9" s="13">
        <f>I9*J9</f>
        <v>180.96000000000004</v>
      </c>
      <c r="L9" s="13">
        <f>J9*(I9-H9)</f>
        <v>54.288000000000011</v>
      </c>
      <c r="M9" s="16">
        <f>L9/K9</f>
        <v>0.3</v>
      </c>
    </row>
    <row r="10" spans="1:13" x14ac:dyDescent="0.3">
      <c r="A10" s="15" t="s">
        <v>84</v>
      </c>
      <c r="B10" s="2" t="s">
        <v>11</v>
      </c>
      <c r="C10" s="12" t="s">
        <v>18</v>
      </c>
      <c r="D10" s="13" t="s">
        <v>19</v>
      </c>
      <c r="E10" s="14" t="s">
        <v>85</v>
      </c>
      <c r="F10" s="13">
        <v>46142</v>
      </c>
      <c r="G10" s="13" t="s">
        <v>21</v>
      </c>
      <c r="H10" s="13">
        <v>3.0869999999999997</v>
      </c>
      <c r="I10" s="13">
        <v>4.41</v>
      </c>
      <c r="J10" s="13">
        <v>1</v>
      </c>
      <c r="K10" s="13">
        <f>I10*J10</f>
        <v>4.41</v>
      </c>
      <c r="L10" s="13">
        <f>J10*(I10-H10)</f>
        <v>1.3230000000000004</v>
      </c>
      <c r="M10" s="16">
        <f>L10/K10</f>
        <v>0.3000000000000001</v>
      </c>
    </row>
    <row r="11" spans="1:13" x14ac:dyDescent="0.3">
      <c r="A11" s="15" t="s">
        <v>36</v>
      </c>
      <c r="B11" s="2" t="s">
        <v>11</v>
      </c>
      <c r="C11" s="12" t="s">
        <v>37</v>
      </c>
      <c r="D11" s="13" t="s">
        <v>13</v>
      </c>
      <c r="E11" s="14" t="s">
        <v>30</v>
      </c>
      <c r="F11" s="13">
        <v>77581</v>
      </c>
      <c r="G11" s="13" t="s">
        <v>32</v>
      </c>
      <c r="H11" s="13">
        <v>329.2632000000001</v>
      </c>
      <c r="I11" s="13">
        <v>470.37600000000009</v>
      </c>
      <c r="J11" s="13">
        <v>3</v>
      </c>
      <c r="K11" s="13">
        <f>I11*J11</f>
        <v>1411.1280000000002</v>
      </c>
      <c r="L11" s="13">
        <f>J11*(I11-H11)</f>
        <v>423.33839999999998</v>
      </c>
      <c r="M11" s="16">
        <f>L11/K11</f>
        <v>0.29999999999999993</v>
      </c>
    </row>
    <row r="12" spans="1:13" x14ac:dyDescent="0.3">
      <c r="A12" s="15" t="s">
        <v>49</v>
      </c>
      <c r="B12" s="2" t="s">
        <v>11</v>
      </c>
      <c r="C12" s="12" t="s">
        <v>28</v>
      </c>
      <c r="D12" s="13" t="s">
        <v>13</v>
      </c>
      <c r="E12" s="14" t="s">
        <v>46</v>
      </c>
      <c r="F12" s="13">
        <v>19143</v>
      </c>
      <c r="G12" s="13" t="s">
        <v>32</v>
      </c>
      <c r="H12" s="13">
        <v>50.383200000000002</v>
      </c>
      <c r="I12" s="13">
        <v>71.975999999999999</v>
      </c>
      <c r="J12" s="13">
        <v>3</v>
      </c>
      <c r="K12" s="13">
        <f>I12*J12</f>
        <v>215.928</v>
      </c>
      <c r="L12" s="13">
        <f>J12*(I12-H12)</f>
        <v>64.778399999999991</v>
      </c>
      <c r="M12" s="16">
        <f>L12/K12</f>
        <v>0.29999999999999993</v>
      </c>
    </row>
    <row r="13" spans="1:13" x14ac:dyDescent="0.3">
      <c r="A13" s="15" t="s">
        <v>52</v>
      </c>
      <c r="B13" s="2" t="s">
        <v>11</v>
      </c>
      <c r="C13" s="12" t="s">
        <v>37</v>
      </c>
      <c r="D13" s="13" t="s">
        <v>13</v>
      </c>
      <c r="E13" s="14" t="s">
        <v>51</v>
      </c>
      <c r="F13" s="13">
        <v>97206</v>
      </c>
      <c r="G13" s="13" t="s">
        <v>32</v>
      </c>
      <c r="H13" s="13">
        <v>241.2928</v>
      </c>
      <c r="I13" s="13">
        <v>344.70400000000001</v>
      </c>
      <c r="J13" s="13">
        <v>2</v>
      </c>
      <c r="K13" s="13">
        <f>I13*J13</f>
        <v>689.40800000000002</v>
      </c>
      <c r="L13" s="13">
        <f>J13*(I13-H13)</f>
        <v>206.82240000000002</v>
      </c>
      <c r="M13" s="16">
        <f>L13/K13</f>
        <v>0.3</v>
      </c>
    </row>
    <row r="14" spans="1:13" x14ac:dyDescent="0.3">
      <c r="A14" s="15" t="s">
        <v>55</v>
      </c>
      <c r="B14" s="2" t="s">
        <v>11</v>
      </c>
      <c r="C14" s="12" t="s">
        <v>12</v>
      </c>
      <c r="D14" s="13" t="s">
        <v>13</v>
      </c>
      <c r="E14" s="14" t="s">
        <v>56</v>
      </c>
      <c r="F14" s="13">
        <v>73120</v>
      </c>
      <c r="G14" s="13" t="s">
        <v>32</v>
      </c>
      <c r="H14" s="13">
        <v>155.386</v>
      </c>
      <c r="I14" s="13">
        <v>221.98</v>
      </c>
      <c r="J14" s="13">
        <v>2</v>
      </c>
      <c r="K14" s="13">
        <f>I14*J14</f>
        <v>443.96</v>
      </c>
      <c r="L14" s="13">
        <f>J14*(I14-H14)</f>
        <v>133.18799999999999</v>
      </c>
      <c r="M14" s="16">
        <f>L14/K14</f>
        <v>0.3</v>
      </c>
    </row>
    <row r="15" spans="1:13" x14ac:dyDescent="0.3">
      <c r="A15" s="15" t="s">
        <v>59</v>
      </c>
      <c r="B15" s="2" t="s">
        <v>11</v>
      </c>
      <c r="C15" s="12" t="s">
        <v>23</v>
      </c>
      <c r="D15" s="13" t="s">
        <v>24</v>
      </c>
      <c r="E15" s="14" t="s">
        <v>60</v>
      </c>
      <c r="F15" s="13">
        <v>28540</v>
      </c>
      <c r="G15" s="13" t="s">
        <v>32</v>
      </c>
      <c r="H15" s="13">
        <v>486.99</v>
      </c>
      <c r="I15" s="13">
        <v>695.7</v>
      </c>
      <c r="J15" s="13">
        <v>2</v>
      </c>
      <c r="K15" s="13">
        <f>I15*J15</f>
        <v>1391.4</v>
      </c>
      <c r="L15" s="13">
        <f>J15*(I15-H15)</f>
        <v>417.42000000000007</v>
      </c>
      <c r="M15" s="16">
        <f>L15/K15</f>
        <v>0.30000000000000004</v>
      </c>
    </row>
    <row r="16" spans="1:13" x14ac:dyDescent="0.3">
      <c r="A16" s="15" t="s">
        <v>68</v>
      </c>
      <c r="B16" s="2" t="s">
        <v>11</v>
      </c>
      <c r="C16" s="12" t="s">
        <v>45</v>
      </c>
      <c r="D16" s="13" t="s">
        <v>24</v>
      </c>
      <c r="E16" s="14" t="s">
        <v>62</v>
      </c>
      <c r="F16" s="13">
        <v>10035</v>
      </c>
      <c r="G16" s="13" t="s">
        <v>32</v>
      </c>
      <c r="H16" s="13">
        <v>24.338999999999999</v>
      </c>
      <c r="I16" s="13">
        <v>34.769999999999996</v>
      </c>
      <c r="J16" s="13">
        <v>3</v>
      </c>
      <c r="K16" s="13">
        <f>I16*J16</f>
        <v>104.30999999999999</v>
      </c>
      <c r="L16" s="13">
        <f>J16*(I16-H16)</f>
        <v>31.292999999999992</v>
      </c>
      <c r="M16" s="16">
        <f>L16/K16</f>
        <v>0.29999999999999993</v>
      </c>
    </row>
    <row r="17" spans="1:13" x14ac:dyDescent="0.3">
      <c r="A17" s="15" t="s">
        <v>63</v>
      </c>
      <c r="B17" s="2" t="s">
        <v>11</v>
      </c>
      <c r="C17" s="12" t="s">
        <v>18</v>
      </c>
      <c r="D17" s="13" t="s">
        <v>19</v>
      </c>
      <c r="E17" s="14" t="s">
        <v>62</v>
      </c>
      <c r="F17" s="13">
        <v>10009</v>
      </c>
      <c r="G17" s="13" t="s">
        <v>32</v>
      </c>
      <c r="H17" s="13">
        <v>4.7530000000000001</v>
      </c>
      <c r="I17" s="13">
        <v>6.79</v>
      </c>
      <c r="J17" s="13">
        <v>1</v>
      </c>
      <c r="K17" s="13">
        <f>I17*J17</f>
        <v>6.79</v>
      </c>
      <c r="L17" s="13">
        <f>J17*(I17-H17)</f>
        <v>2.0369999999999999</v>
      </c>
      <c r="M17" s="16">
        <f>L17/K17</f>
        <v>0.3</v>
      </c>
    </row>
    <row r="18" spans="1:13" x14ac:dyDescent="0.3">
      <c r="A18" s="15" t="s">
        <v>10</v>
      </c>
      <c r="B18" s="2" t="s">
        <v>11</v>
      </c>
      <c r="C18" s="12" t="s">
        <v>12</v>
      </c>
      <c r="D18" s="13" t="s">
        <v>13</v>
      </c>
      <c r="E18" s="14" t="s">
        <v>14</v>
      </c>
      <c r="F18" s="13">
        <v>98103</v>
      </c>
      <c r="G18" s="13" t="s">
        <v>15</v>
      </c>
      <c r="H18" s="13">
        <v>34.098399999999998</v>
      </c>
      <c r="I18" s="13">
        <v>48.712000000000003</v>
      </c>
      <c r="J18" s="13">
        <v>1</v>
      </c>
      <c r="K18" s="13">
        <f>I18*J18</f>
        <v>48.712000000000003</v>
      </c>
      <c r="L18" s="13">
        <f>J18*(I18-H18)</f>
        <v>14.613600000000005</v>
      </c>
      <c r="M18" s="16">
        <f>L18/K18</f>
        <v>0.3000000000000001</v>
      </c>
    </row>
    <row r="19" spans="1:13" x14ac:dyDescent="0.3">
      <c r="A19" s="15" t="s">
        <v>42</v>
      </c>
      <c r="B19" s="2" t="s">
        <v>11</v>
      </c>
      <c r="C19" s="12" t="s">
        <v>34</v>
      </c>
      <c r="D19" s="13" t="s">
        <v>24</v>
      </c>
      <c r="E19" s="14" t="s">
        <v>43</v>
      </c>
      <c r="F19" s="13">
        <v>2920</v>
      </c>
      <c r="G19" s="13" t="s">
        <v>15</v>
      </c>
      <c r="H19" s="13">
        <v>168.52080000000001</v>
      </c>
      <c r="I19" s="13">
        <v>240.744</v>
      </c>
      <c r="J19" s="13">
        <v>4</v>
      </c>
      <c r="K19" s="13">
        <f>I19*J19</f>
        <v>962.976</v>
      </c>
      <c r="L19" s="13">
        <f>J19*(I19-H19)</f>
        <v>288.89279999999997</v>
      </c>
      <c r="M19" s="16">
        <f>L19/K19</f>
        <v>0.3</v>
      </c>
    </row>
    <row r="20" spans="1:13" x14ac:dyDescent="0.3">
      <c r="A20" s="15" t="s">
        <v>72</v>
      </c>
      <c r="B20" s="2" t="s">
        <v>11</v>
      </c>
      <c r="C20" s="12" t="s">
        <v>34</v>
      </c>
      <c r="D20" s="13" t="s">
        <v>24</v>
      </c>
      <c r="E20" s="14" t="s">
        <v>73</v>
      </c>
      <c r="F20" s="13">
        <v>89015</v>
      </c>
      <c r="G20" s="13" t="s">
        <v>15</v>
      </c>
      <c r="H20" s="13">
        <v>137.51499999999999</v>
      </c>
      <c r="I20" s="13">
        <v>196.45</v>
      </c>
      <c r="J20" s="13">
        <v>5</v>
      </c>
      <c r="K20" s="13">
        <f>I20*J20</f>
        <v>982.25</v>
      </c>
      <c r="L20" s="13">
        <f>J20*(I20-H20)</f>
        <v>294.67500000000001</v>
      </c>
      <c r="M20" s="16">
        <f>L20/K20</f>
        <v>0.3</v>
      </c>
    </row>
    <row r="21" spans="1:13" x14ac:dyDescent="0.3">
      <c r="A21" s="15" t="s">
        <v>98</v>
      </c>
      <c r="B21" s="2" t="s">
        <v>11</v>
      </c>
      <c r="C21" s="12" t="s">
        <v>23</v>
      </c>
      <c r="D21" s="13" t="s">
        <v>24</v>
      </c>
      <c r="E21" s="14" t="s">
        <v>94</v>
      </c>
      <c r="F21" s="13">
        <v>94110</v>
      </c>
      <c r="G21" s="13" t="s">
        <v>15</v>
      </c>
      <c r="H21" s="13">
        <v>334.36619999999999</v>
      </c>
      <c r="I21" s="13">
        <v>477.666</v>
      </c>
      <c r="J21" s="13">
        <v>2</v>
      </c>
      <c r="K21" s="13">
        <f>I21*J21</f>
        <v>955.33199999999999</v>
      </c>
      <c r="L21" s="13">
        <f>J21*(I21-H21)</f>
        <v>286.59960000000001</v>
      </c>
      <c r="M21" s="16">
        <f>L21/K21</f>
        <v>0.3</v>
      </c>
    </row>
    <row r="22" spans="1:13" x14ac:dyDescent="0.3">
      <c r="A22" s="15" t="s">
        <v>100</v>
      </c>
      <c r="B22" s="2" t="s">
        <v>101</v>
      </c>
      <c r="C22" s="12" t="s">
        <v>34</v>
      </c>
      <c r="D22" s="13" t="s">
        <v>24</v>
      </c>
      <c r="E22" s="14" t="s">
        <v>94</v>
      </c>
      <c r="F22" s="13">
        <v>90036</v>
      </c>
      <c r="G22" s="13" t="s">
        <v>21</v>
      </c>
      <c r="H22" s="13">
        <v>162.20400000000001</v>
      </c>
      <c r="I22" s="13">
        <v>231.72</v>
      </c>
      <c r="J22" s="13">
        <v>2</v>
      </c>
      <c r="K22" s="13">
        <f>I22*J22</f>
        <v>463.44</v>
      </c>
      <c r="L22" s="13">
        <f>J22*(I22-H22)</f>
        <v>139.03199999999998</v>
      </c>
      <c r="M22" s="16">
        <f>L22/K22</f>
        <v>0.3</v>
      </c>
    </row>
    <row r="23" spans="1:13" x14ac:dyDescent="0.3">
      <c r="A23" s="15" t="s">
        <v>108</v>
      </c>
      <c r="B23" s="2" t="s">
        <v>101</v>
      </c>
      <c r="C23" s="12" t="s">
        <v>54</v>
      </c>
      <c r="D23" s="13" t="s">
        <v>19</v>
      </c>
      <c r="E23" s="14" t="s">
        <v>106</v>
      </c>
      <c r="F23" s="13">
        <v>85705</v>
      </c>
      <c r="G23" s="13" t="s">
        <v>15</v>
      </c>
      <c r="H23" s="13">
        <v>181.39520000000002</v>
      </c>
      <c r="I23" s="13">
        <v>259.13600000000002</v>
      </c>
      <c r="J23" s="13">
        <v>4</v>
      </c>
      <c r="K23" s="13">
        <f>I23*J23</f>
        <v>1036.5440000000001</v>
      </c>
      <c r="L23" s="13">
        <f>J23*(I23-H23)</f>
        <v>310.96320000000003</v>
      </c>
      <c r="M23" s="16">
        <f>L23/K23</f>
        <v>0.3</v>
      </c>
    </row>
    <row r="24" spans="1:13" x14ac:dyDescent="0.3">
      <c r="A24" s="15" t="s">
        <v>74</v>
      </c>
      <c r="B24" s="2" t="s">
        <v>40</v>
      </c>
      <c r="C24" s="12" t="s">
        <v>28</v>
      </c>
      <c r="D24" s="13" t="s">
        <v>13</v>
      </c>
      <c r="E24" s="14" t="s">
        <v>75</v>
      </c>
      <c r="F24" s="13">
        <v>65807</v>
      </c>
      <c r="G24" s="13" t="s">
        <v>21</v>
      </c>
      <c r="H24" s="13">
        <v>65.94</v>
      </c>
      <c r="I24" s="13">
        <v>94.199999999999989</v>
      </c>
      <c r="J24" s="13">
        <v>6</v>
      </c>
      <c r="K24" s="13">
        <f>I24*J24</f>
        <v>565.19999999999993</v>
      </c>
      <c r="L24" s="13">
        <f>J24*(I24-H24)</f>
        <v>169.55999999999995</v>
      </c>
      <c r="M24" s="16">
        <f>L24/K24</f>
        <v>0.29999999999999993</v>
      </c>
    </row>
    <row r="25" spans="1:13" x14ac:dyDescent="0.3">
      <c r="A25" s="15" t="s">
        <v>57</v>
      </c>
      <c r="B25" s="2" t="s">
        <v>40</v>
      </c>
      <c r="C25" s="12" t="s">
        <v>34</v>
      </c>
      <c r="D25" s="13" t="s">
        <v>24</v>
      </c>
      <c r="E25" s="14" t="s">
        <v>58</v>
      </c>
      <c r="F25" s="13">
        <v>43229</v>
      </c>
      <c r="G25" s="13" t="s">
        <v>21</v>
      </c>
      <c r="H25" s="13">
        <v>2.1055999999999999</v>
      </c>
      <c r="I25" s="13">
        <v>3.008</v>
      </c>
      <c r="J25" s="13">
        <v>2</v>
      </c>
      <c r="K25" s="13">
        <f>I25*J25</f>
        <v>6.016</v>
      </c>
      <c r="L25" s="13">
        <f>J25*(I25-H25)</f>
        <v>1.8048000000000002</v>
      </c>
      <c r="M25" s="16">
        <f>L25/K25</f>
        <v>0.30000000000000004</v>
      </c>
    </row>
    <row r="26" spans="1:13" x14ac:dyDescent="0.3">
      <c r="A26" s="15" t="s">
        <v>69</v>
      </c>
      <c r="B26" s="2" t="s">
        <v>40</v>
      </c>
      <c r="C26" s="12" t="s">
        <v>45</v>
      </c>
      <c r="D26" s="13" t="s">
        <v>24</v>
      </c>
      <c r="E26" s="14" t="s">
        <v>62</v>
      </c>
      <c r="F26" s="13">
        <v>12180</v>
      </c>
      <c r="G26" s="13" t="s">
        <v>21</v>
      </c>
      <c r="H26" s="13">
        <v>173.488</v>
      </c>
      <c r="I26" s="13">
        <v>247.84</v>
      </c>
      <c r="J26" s="13">
        <v>8</v>
      </c>
      <c r="K26" s="13">
        <f>I26*J26</f>
        <v>1982.72</v>
      </c>
      <c r="L26" s="13">
        <f>J26*(I26-H26)</f>
        <v>594.81600000000003</v>
      </c>
      <c r="M26" s="16">
        <f>L26/K26</f>
        <v>0.3</v>
      </c>
    </row>
    <row r="27" spans="1:13" x14ac:dyDescent="0.3">
      <c r="A27" s="15" t="s">
        <v>90</v>
      </c>
      <c r="B27" s="2" t="s">
        <v>40</v>
      </c>
      <c r="C27" s="12" t="s">
        <v>54</v>
      </c>
      <c r="D27" s="13" t="s">
        <v>19</v>
      </c>
      <c r="E27" s="14" t="s">
        <v>88</v>
      </c>
      <c r="F27" s="13">
        <v>60505</v>
      </c>
      <c r="G27" s="13" t="s">
        <v>32</v>
      </c>
      <c r="H27" s="13">
        <v>35.084000000000003</v>
      </c>
      <c r="I27" s="13">
        <v>50.120000000000005</v>
      </c>
      <c r="J27" s="13">
        <v>7</v>
      </c>
      <c r="K27" s="13">
        <f>I27*J27</f>
        <v>350.84000000000003</v>
      </c>
      <c r="L27" s="13">
        <f>J27*(I27-H27)</f>
        <v>105.25200000000001</v>
      </c>
      <c r="M27" s="16">
        <f>L27/K27</f>
        <v>0.3</v>
      </c>
    </row>
    <row r="28" spans="1:13" x14ac:dyDescent="0.3">
      <c r="A28" s="15" t="s">
        <v>39</v>
      </c>
      <c r="B28" s="2" t="s">
        <v>40</v>
      </c>
      <c r="C28" s="12" t="s">
        <v>34</v>
      </c>
      <c r="D28" s="13" t="s">
        <v>24</v>
      </c>
      <c r="E28" s="14" t="s">
        <v>41</v>
      </c>
      <c r="F28" s="13">
        <v>37918</v>
      </c>
      <c r="G28" s="13" t="s">
        <v>15</v>
      </c>
      <c r="H28" s="13">
        <v>220.04639999999998</v>
      </c>
      <c r="I28" s="13">
        <v>314.35199999999998</v>
      </c>
      <c r="J28" s="13">
        <v>3</v>
      </c>
      <c r="K28" s="13">
        <f>I28*J28</f>
        <v>943.05599999999993</v>
      </c>
      <c r="L28" s="13">
        <f>J28*(I28-H28)</f>
        <v>282.91679999999997</v>
      </c>
      <c r="M28" s="16">
        <f>L28/K28</f>
        <v>0.3</v>
      </c>
    </row>
    <row r="29" spans="1:13" x14ac:dyDescent="0.3">
      <c r="A29" s="15" t="s">
        <v>77</v>
      </c>
      <c r="B29" s="2" t="s">
        <v>40</v>
      </c>
      <c r="C29" s="12" t="s">
        <v>45</v>
      </c>
      <c r="D29" s="13" t="s">
        <v>24</v>
      </c>
      <c r="E29" s="14" t="s">
        <v>78</v>
      </c>
      <c r="F29" s="13">
        <v>39503</v>
      </c>
      <c r="G29" s="13" t="s">
        <v>15</v>
      </c>
      <c r="H29" s="13">
        <v>60.515000000000001</v>
      </c>
      <c r="I29" s="13">
        <v>86.45</v>
      </c>
      <c r="J29" s="13">
        <v>7</v>
      </c>
      <c r="K29" s="13">
        <f>I29*J29</f>
        <v>605.15</v>
      </c>
      <c r="L29" s="13">
        <f>J29*(I29-H29)</f>
        <v>181.54500000000002</v>
      </c>
      <c r="M29" s="16">
        <f>L29/K29</f>
        <v>0.30000000000000004</v>
      </c>
    </row>
    <row r="30" spans="1:13" x14ac:dyDescent="0.3">
      <c r="A30" s="15" t="s">
        <v>29</v>
      </c>
      <c r="B30" s="2" t="s">
        <v>17</v>
      </c>
      <c r="C30" s="12" t="s">
        <v>12</v>
      </c>
      <c r="D30" s="13" t="s">
        <v>13</v>
      </c>
      <c r="E30" s="14" t="s">
        <v>30</v>
      </c>
      <c r="F30" s="13">
        <v>76017</v>
      </c>
      <c r="G30" s="13" t="s">
        <v>21</v>
      </c>
      <c r="H30" s="13">
        <v>8.8368000000000002</v>
      </c>
      <c r="I30" s="13">
        <v>12.624000000000001</v>
      </c>
      <c r="J30" s="13">
        <v>2</v>
      </c>
      <c r="K30" s="13">
        <f>I30*J30</f>
        <v>25.248000000000001</v>
      </c>
      <c r="L30" s="13">
        <f>J30*(I30-H30)</f>
        <v>7.5744000000000007</v>
      </c>
      <c r="M30" s="16">
        <f>L30/K30</f>
        <v>0.3</v>
      </c>
    </row>
    <row r="31" spans="1:13" x14ac:dyDescent="0.3">
      <c r="A31" s="15" t="s">
        <v>35</v>
      </c>
      <c r="B31" s="2" t="s">
        <v>17</v>
      </c>
      <c r="C31" s="12" t="s">
        <v>28</v>
      </c>
      <c r="D31" s="13" t="s">
        <v>13</v>
      </c>
      <c r="E31" s="14" t="s">
        <v>30</v>
      </c>
      <c r="F31" s="13">
        <v>75061</v>
      </c>
      <c r="G31" s="13" t="s">
        <v>21</v>
      </c>
      <c r="H31" s="13">
        <v>13.255199999999999</v>
      </c>
      <c r="I31" s="13">
        <v>18.936</v>
      </c>
      <c r="J31" s="13">
        <v>3</v>
      </c>
      <c r="K31" s="13">
        <f>I31*J31</f>
        <v>56.808</v>
      </c>
      <c r="L31" s="13">
        <f>J31*(I31-H31)</f>
        <v>17.042400000000004</v>
      </c>
      <c r="M31" s="16">
        <f>L31/K31</f>
        <v>0.3000000000000001</v>
      </c>
    </row>
    <row r="32" spans="1:13" x14ac:dyDescent="0.3">
      <c r="A32" s="15" t="s">
        <v>38</v>
      </c>
      <c r="B32" s="2" t="s">
        <v>17</v>
      </c>
      <c r="C32" s="12" t="s">
        <v>37</v>
      </c>
      <c r="D32" s="13" t="s">
        <v>13</v>
      </c>
      <c r="E32" s="14" t="s">
        <v>30</v>
      </c>
      <c r="F32" s="13">
        <v>77041</v>
      </c>
      <c r="G32" s="13" t="s">
        <v>21</v>
      </c>
      <c r="H32" s="13">
        <v>16.548000000000002</v>
      </c>
      <c r="I32" s="13">
        <v>23.64</v>
      </c>
      <c r="J32" s="13">
        <v>3</v>
      </c>
      <c r="K32" s="13">
        <f>I32*J32</f>
        <v>70.92</v>
      </c>
      <c r="L32" s="13">
        <f>J32*(I32-H32)</f>
        <v>21.275999999999996</v>
      </c>
      <c r="M32" s="16">
        <f>L32/K32</f>
        <v>0.29999999999999993</v>
      </c>
    </row>
    <row r="33" spans="1:13" x14ac:dyDescent="0.3">
      <c r="A33" s="15" t="s">
        <v>65</v>
      </c>
      <c r="B33" s="2" t="s">
        <v>17</v>
      </c>
      <c r="C33" s="12" t="s">
        <v>28</v>
      </c>
      <c r="D33" s="13" t="s">
        <v>13</v>
      </c>
      <c r="E33" s="14" t="s">
        <v>62</v>
      </c>
      <c r="F33" s="13">
        <v>10011</v>
      </c>
      <c r="G33" s="13" t="s">
        <v>21</v>
      </c>
      <c r="H33" s="13">
        <v>25.591999999999999</v>
      </c>
      <c r="I33" s="13">
        <v>36.56</v>
      </c>
      <c r="J33" s="13">
        <v>5</v>
      </c>
      <c r="K33" s="13">
        <f>I33*J33</f>
        <v>182.8</v>
      </c>
      <c r="L33" s="13">
        <f>J33*(I33-H33)</f>
        <v>54.840000000000018</v>
      </c>
      <c r="M33" s="16">
        <f>L33/K33</f>
        <v>0.3000000000000001</v>
      </c>
    </row>
    <row r="34" spans="1:13" x14ac:dyDescent="0.3">
      <c r="A34" s="15" t="s">
        <v>67</v>
      </c>
      <c r="B34" s="2" t="s">
        <v>17</v>
      </c>
      <c r="C34" s="12" t="s">
        <v>37</v>
      </c>
      <c r="D34" s="13" t="s">
        <v>13</v>
      </c>
      <c r="E34" s="14" t="s">
        <v>62</v>
      </c>
      <c r="F34" s="13">
        <v>10011</v>
      </c>
      <c r="G34" s="13" t="s">
        <v>21</v>
      </c>
      <c r="H34" s="13">
        <v>82.572000000000003</v>
      </c>
      <c r="I34" s="13">
        <v>117.96</v>
      </c>
      <c r="J34" s="13">
        <v>2</v>
      </c>
      <c r="K34" s="13">
        <f>I34*J34</f>
        <v>235.92</v>
      </c>
      <c r="L34" s="13">
        <f>J34*(I34-H34)</f>
        <v>70.775999999999982</v>
      </c>
      <c r="M34" s="16">
        <f>L34/K34</f>
        <v>0.29999999999999993</v>
      </c>
    </row>
    <row r="35" spans="1:13" x14ac:dyDescent="0.3">
      <c r="A35" s="15" t="s">
        <v>76</v>
      </c>
      <c r="B35" s="2" t="s">
        <v>17</v>
      </c>
      <c r="C35" s="12" t="s">
        <v>28</v>
      </c>
      <c r="D35" s="13" t="s">
        <v>13</v>
      </c>
      <c r="E35" s="14" t="s">
        <v>75</v>
      </c>
      <c r="F35" s="13">
        <v>65807</v>
      </c>
      <c r="G35" s="13" t="s">
        <v>21</v>
      </c>
      <c r="H35" s="13">
        <v>12.053999999999998</v>
      </c>
      <c r="I35" s="13">
        <v>17.22</v>
      </c>
      <c r="J35" s="13">
        <v>3</v>
      </c>
      <c r="K35" s="13">
        <f>I35*J35</f>
        <v>51.66</v>
      </c>
      <c r="L35" s="13">
        <f>J35*(I35-H35)</f>
        <v>15.498000000000001</v>
      </c>
      <c r="M35" s="16">
        <f>L35/K35</f>
        <v>0.30000000000000004</v>
      </c>
    </row>
    <row r="36" spans="1:13" x14ac:dyDescent="0.3">
      <c r="A36" s="15" t="s">
        <v>79</v>
      </c>
      <c r="B36" s="2" t="s">
        <v>17</v>
      </c>
      <c r="C36" s="12" t="s">
        <v>37</v>
      </c>
      <c r="D36" s="13" t="s">
        <v>13</v>
      </c>
      <c r="E36" s="14" t="s">
        <v>80</v>
      </c>
      <c r="F36" s="13">
        <v>48205</v>
      </c>
      <c r="G36" s="13" t="s">
        <v>21</v>
      </c>
      <c r="H36" s="13">
        <v>6924.9179999999997</v>
      </c>
      <c r="I36" s="13">
        <v>9892.74</v>
      </c>
      <c r="J36" s="13">
        <v>13</v>
      </c>
      <c r="K36" s="13">
        <f>I36*J36</f>
        <v>128605.62</v>
      </c>
      <c r="L36" s="13">
        <f>J36*(I36-H36)</f>
        <v>38581.686000000002</v>
      </c>
      <c r="M36" s="16">
        <f>L36/K36</f>
        <v>0.30000000000000004</v>
      </c>
    </row>
    <row r="37" spans="1:13" x14ac:dyDescent="0.3">
      <c r="A37" s="15" t="s">
        <v>87</v>
      </c>
      <c r="B37" s="2" t="s">
        <v>17</v>
      </c>
      <c r="C37" s="12" t="s">
        <v>28</v>
      </c>
      <c r="D37" s="13" t="s">
        <v>13</v>
      </c>
      <c r="E37" s="14" t="s">
        <v>88</v>
      </c>
      <c r="F37" s="13">
        <v>60653</v>
      </c>
      <c r="G37" s="13" t="s">
        <v>21</v>
      </c>
      <c r="H37" s="13">
        <v>4.2</v>
      </c>
      <c r="I37" s="13">
        <v>6</v>
      </c>
      <c r="J37" s="13">
        <v>2</v>
      </c>
      <c r="K37" s="13">
        <f>I37*J37</f>
        <v>12</v>
      </c>
      <c r="L37" s="13">
        <f>J37*(I37-H37)</f>
        <v>3.5999999999999996</v>
      </c>
      <c r="M37" s="16">
        <f>L37/K37</f>
        <v>0.3</v>
      </c>
    </row>
    <row r="38" spans="1:13" x14ac:dyDescent="0.3">
      <c r="A38" s="15" t="s">
        <v>105</v>
      </c>
      <c r="B38" s="2" t="s">
        <v>17</v>
      </c>
      <c r="C38" s="12" t="s">
        <v>37</v>
      </c>
      <c r="D38" s="13" t="s">
        <v>13</v>
      </c>
      <c r="E38" s="14" t="s">
        <v>106</v>
      </c>
      <c r="F38" s="13">
        <v>85023</v>
      </c>
      <c r="G38" s="13" t="s">
        <v>21</v>
      </c>
      <c r="H38" s="13">
        <v>8.8368000000000002</v>
      </c>
      <c r="I38" s="13">
        <v>12.624000000000001</v>
      </c>
      <c r="J38" s="13">
        <v>2</v>
      </c>
      <c r="K38" s="13">
        <f>I38*J38</f>
        <v>25.248000000000001</v>
      </c>
      <c r="L38" s="13">
        <f>J38*(I38-H38)</f>
        <v>7.5744000000000007</v>
      </c>
      <c r="M38" s="16">
        <f>L38/K38</f>
        <v>0.3</v>
      </c>
    </row>
    <row r="39" spans="1:13" x14ac:dyDescent="0.3">
      <c r="A39" s="15" t="s">
        <v>33</v>
      </c>
      <c r="B39" s="2" t="s">
        <v>17</v>
      </c>
      <c r="C39" s="12" t="s">
        <v>34</v>
      </c>
      <c r="D39" s="13" t="s">
        <v>24</v>
      </c>
      <c r="E39" s="14" t="s">
        <v>30</v>
      </c>
      <c r="F39" s="13">
        <v>76017</v>
      </c>
      <c r="G39" s="13" t="s">
        <v>21</v>
      </c>
      <c r="H39" s="13">
        <v>36.288000000000011</v>
      </c>
      <c r="I39" s="13">
        <v>51.840000000000011</v>
      </c>
      <c r="J39" s="13">
        <v>10</v>
      </c>
      <c r="K39" s="13">
        <f>I39*J39</f>
        <v>518.40000000000009</v>
      </c>
      <c r="L39" s="13">
        <f>J39*(I39-H39)</f>
        <v>155.51999999999998</v>
      </c>
      <c r="M39" s="16">
        <f>L39/K39</f>
        <v>0.29999999999999993</v>
      </c>
    </row>
    <row r="40" spans="1:13" x14ac:dyDescent="0.3">
      <c r="A40" s="15" t="s">
        <v>44</v>
      </c>
      <c r="B40" s="2" t="s">
        <v>17</v>
      </c>
      <c r="C40" s="12" t="s">
        <v>45</v>
      </c>
      <c r="D40" s="13" t="s">
        <v>24</v>
      </c>
      <c r="E40" s="14" t="s">
        <v>46</v>
      </c>
      <c r="F40" s="13">
        <v>19134</v>
      </c>
      <c r="G40" s="13" t="s">
        <v>21</v>
      </c>
      <c r="H40" s="13">
        <v>13.0928</v>
      </c>
      <c r="I40" s="13">
        <v>18.704000000000001</v>
      </c>
      <c r="J40" s="13">
        <v>7</v>
      </c>
      <c r="K40" s="13">
        <f>I40*J40</f>
        <v>130.928</v>
      </c>
      <c r="L40" s="13">
        <f>J40*(I40-H40)</f>
        <v>39.278400000000005</v>
      </c>
      <c r="M40" s="16">
        <f>L40/K40</f>
        <v>0.30000000000000004</v>
      </c>
    </row>
    <row r="41" spans="1:13" x14ac:dyDescent="0.3">
      <c r="A41" s="15" t="s">
        <v>61</v>
      </c>
      <c r="B41" s="2" t="s">
        <v>17</v>
      </c>
      <c r="C41" s="12" t="s">
        <v>23</v>
      </c>
      <c r="D41" s="13" t="s">
        <v>24</v>
      </c>
      <c r="E41" s="14" t="s">
        <v>62</v>
      </c>
      <c r="F41" s="13">
        <v>10035</v>
      </c>
      <c r="G41" s="13" t="s">
        <v>21</v>
      </c>
      <c r="H41" s="13">
        <v>46.045999999999999</v>
      </c>
      <c r="I41" s="13">
        <v>65.78</v>
      </c>
      <c r="J41" s="13">
        <v>11</v>
      </c>
      <c r="K41" s="13">
        <f>I41*J41</f>
        <v>723.58</v>
      </c>
      <c r="L41" s="13">
        <f>J41*(I41-H41)</f>
        <v>217.07400000000001</v>
      </c>
      <c r="M41" s="16">
        <f>L41/K41</f>
        <v>0.3</v>
      </c>
    </row>
    <row r="42" spans="1:13" x14ac:dyDescent="0.3">
      <c r="A42" s="15" t="s">
        <v>64</v>
      </c>
      <c r="B42" s="2" t="s">
        <v>17</v>
      </c>
      <c r="C42" s="12" t="s">
        <v>34</v>
      </c>
      <c r="D42" s="13" t="s">
        <v>24</v>
      </c>
      <c r="E42" s="14" t="s">
        <v>62</v>
      </c>
      <c r="F42" s="13">
        <v>10011</v>
      </c>
      <c r="G42" s="13" t="s">
        <v>21</v>
      </c>
      <c r="H42" s="13">
        <v>589.09760000000006</v>
      </c>
      <c r="I42" s="13">
        <v>841.5680000000001</v>
      </c>
      <c r="J42" s="13">
        <v>2</v>
      </c>
      <c r="K42" s="13">
        <f>I42*J42</f>
        <v>1683.1360000000002</v>
      </c>
      <c r="L42" s="13">
        <f>J42*(I42-H42)</f>
        <v>504.94080000000008</v>
      </c>
      <c r="M42" s="16">
        <f>L42/K42</f>
        <v>0.3</v>
      </c>
    </row>
    <row r="43" spans="1:13" x14ac:dyDescent="0.3">
      <c r="A43" s="15" t="s">
        <v>91</v>
      </c>
      <c r="B43" s="2" t="s">
        <v>17</v>
      </c>
      <c r="C43" s="12" t="s">
        <v>34</v>
      </c>
      <c r="D43" s="13" t="s">
        <v>24</v>
      </c>
      <c r="E43" s="14" t="s">
        <v>92</v>
      </c>
      <c r="F43" s="13">
        <v>30318</v>
      </c>
      <c r="G43" s="13" t="s">
        <v>21</v>
      </c>
      <c r="H43" s="13">
        <v>8.9879999999999995</v>
      </c>
      <c r="I43" s="13">
        <v>12.84</v>
      </c>
      <c r="J43" s="13">
        <v>3</v>
      </c>
      <c r="K43" s="13">
        <f>I43*J43</f>
        <v>38.519999999999996</v>
      </c>
      <c r="L43" s="13">
        <f>J43*(I43-H43)</f>
        <v>11.556000000000001</v>
      </c>
      <c r="M43" s="16">
        <f>L43/K43</f>
        <v>0.30000000000000004</v>
      </c>
    </row>
    <row r="44" spans="1:13" x14ac:dyDescent="0.3">
      <c r="A44" s="15" t="s">
        <v>93</v>
      </c>
      <c r="B44" s="2" t="s">
        <v>17</v>
      </c>
      <c r="C44" s="12" t="s">
        <v>45</v>
      </c>
      <c r="D44" s="13" t="s">
        <v>24</v>
      </c>
      <c r="E44" s="14" t="s">
        <v>94</v>
      </c>
      <c r="F44" s="13">
        <v>94122</v>
      </c>
      <c r="G44" s="13" t="s">
        <v>21</v>
      </c>
      <c r="H44" s="13">
        <v>226.17000000000002</v>
      </c>
      <c r="I44" s="13">
        <v>323.10000000000002</v>
      </c>
      <c r="J44" s="13">
        <v>2</v>
      </c>
      <c r="K44" s="13">
        <f>I44*J44</f>
        <v>646.20000000000005</v>
      </c>
      <c r="L44" s="13">
        <f>J44*(I44-H44)</f>
        <v>193.86</v>
      </c>
      <c r="M44" s="16">
        <f>L44/K44</f>
        <v>0.3</v>
      </c>
    </row>
    <row r="45" spans="1:13" x14ac:dyDescent="0.3">
      <c r="A45" s="15" t="s">
        <v>102</v>
      </c>
      <c r="B45" s="2" t="s">
        <v>17</v>
      </c>
      <c r="C45" s="12" t="s">
        <v>34</v>
      </c>
      <c r="D45" s="13" t="s">
        <v>24</v>
      </c>
      <c r="E45" s="14" t="s">
        <v>94</v>
      </c>
      <c r="F45" s="13">
        <v>92646</v>
      </c>
      <c r="G45" s="13" t="s">
        <v>21</v>
      </c>
      <c r="H45" s="13">
        <v>3.6539999999999999</v>
      </c>
      <c r="I45" s="13">
        <v>5.22</v>
      </c>
      <c r="J45" s="13">
        <v>2</v>
      </c>
      <c r="K45" s="13">
        <f>I45*J45</f>
        <v>10.44</v>
      </c>
      <c r="L45" s="13">
        <f>J45*(I45-H45)</f>
        <v>3.1319999999999997</v>
      </c>
      <c r="M45" s="16">
        <f>L45/K45</f>
        <v>0.3</v>
      </c>
    </row>
    <row r="46" spans="1:13" x14ac:dyDescent="0.3">
      <c r="A46" s="15" t="s">
        <v>20</v>
      </c>
      <c r="B46" s="2" t="s">
        <v>17</v>
      </c>
      <c r="C46" s="12" t="s">
        <v>18</v>
      </c>
      <c r="D46" s="13" t="s">
        <v>19</v>
      </c>
      <c r="E46" s="14" t="s">
        <v>14</v>
      </c>
      <c r="F46" s="13">
        <v>98198</v>
      </c>
      <c r="G46" s="13" t="s">
        <v>21</v>
      </c>
      <c r="H46" s="13">
        <v>12.978</v>
      </c>
      <c r="I46" s="13">
        <v>18.54</v>
      </c>
      <c r="J46" s="13">
        <v>2</v>
      </c>
      <c r="K46" s="13">
        <f>I46*J46</f>
        <v>37.08</v>
      </c>
      <c r="L46" s="13">
        <f>J46*(I46-H46)</f>
        <v>11.123999999999999</v>
      </c>
      <c r="M46" s="16">
        <f>L46/K46</f>
        <v>0.3</v>
      </c>
    </row>
    <row r="47" spans="1:13" x14ac:dyDescent="0.3">
      <c r="A47" s="15" t="s">
        <v>47</v>
      </c>
      <c r="B47" s="2" t="s">
        <v>17</v>
      </c>
      <c r="C47" s="12" t="s">
        <v>18</v>
      </c>
      <c r="D47" s="13" t="s">
        <v>19</v>
      </c>
      <c r="E47" s="14" t="s">
        <v>46</v>
      </c>
      <c r="F47" s="13">
        <v>19143</v>
      </c>
      <c r="G47" s="13" t="s">
        <v>21</v>
      </c>
      <c r="H47" s="13">
        <v>14.515200000000004</v>
      </c>
      <c r="I47" s="13">
        <v>20.736000000000004</v>
      </c>
      <c r="J47" s="13">
        <v>4</v>
      </c>
      <c r="K47" s="13">
        <f>I47*J47</f>
        <v>82.944000000000017</v>
      </c>
      <c r="L47" s="13">
        <f>J47*(I47-H47)</f>
        <v>24.883200000000002</v>
      </c>
      <c r="M47" s="16">
        <f>L47/K47</f>
        <v>0.3</v>
      </c>
    </row>
    <row r="48" spans="1:13" x14ac:dyDescent="0.3">
      <c r="A48" s="15" t="s">
        <v>70</v>
      </c>
      <c r="B48" s="2" t="s">
        <v>17</v>
      </c>
      <c r="C48" s="12" t="s">
        <v>18</v>
      </c>
      <c r="D48" s="13" t="s">
        <v>19</v>
      </c>
      <c r="E48" s="14" t="s">
        <v>71</v>
      </c>
      <c r="F48" s="13">
        <v>3301</v>
      </c>
      <c r="G48" s="13" t="s">
        <v>21</v>
      </c>
      <c r="H48" s="13">
        <v>19.551000000000002</v>
      </c>
      <c r="I48" s="13">
        <v>27.93</v>
      </c>
      <c r="J48" s="13">
        <v>3</v>
      </c>
      <c r="K48" s="13">
        <f>I48*J48</f>
        <v>83.789999999999992</v>
      </c>
      <c r="L48" s="13">
        <f>J48*(I48-H48)</f>
        <v>25.136999999999993</v>
      </c>
      <c r="M48" s="16">
        <f>L48/K48</f>
        <v>0.29999999999999993</v>
      </c>
    </row>
    <row r="49" spans="1:13" x14ac:dyDescent="0.3">
      <c r="A49" s="15" t="s">
        <v>83</v>
      </c>
      <c r="B49" s="2" t="s">
        <v>17</v>
      </c>
      <c r="C49" s="12" t="s">
        <v>54</v>
      </c>
      <c r="D49" s="13" t="s">
        <v>19</v>
      </c>
      <c r="E49" s="14" t="s">
        <v>82</v>
      </c>
      <c r="F49" s="13">
        <v>40214</v>
      </c>
      <c r="G49" s="13" t="s">
        <v>21</v>
      </c>
      <c r="H49" s="13">
        <v>72.051000000000002</v>
      </c>
      <c r="I49" s="13">
        <v>102.93</v>
      </c>
      <c r="J49" s="13">
        <v>3</v>
      </c>
      <c r="K49" s="13">
        <f>I49*J49</f>
        <v>308.79000000000002</v>
      </c>
      <c r="L49" s="13">
        <f>J49*(I49-H49)</f>
        <v>92.637000000000015</v>
      </c>
      <c r="M49" s="16">
        <f>L49/K49</f>
        <v>0.30000000000000004</v>
      </c>
    </row>
    <row r="50" spans="1:13" x14ac:dyDescent="0.3">
      <c r="A50" s="15" t="s">
        <v>104</v>
      </c>
      <c r="B50" s="2" t="s">
        <v>17</v>
      </c>
      <c r="C50" s="12" t="s">
        <v>54</v>
      </c>
      <c r="D50" s="13" t="s">
        <v>19</v>
      </c>
      <c r="E50" s="14" t="s">
        <v>94</v>
      </c>
      <c r="F50" s="13">
        <v>94110</v>
      </c>
      <c r="G50" s="13" t="s">
        <v>21</v>
      </c>
      <c r="H50" s="13">
        <v>171.185</v>
      </c>
      <c r="I50" s="13">
        <v>244.54999999999998</v>
      </c>
      <c r="J50" s="13">
        <v>5</v>
      </c>
      <c r="K50" s="13">
        <f>I50*J50</f>
        <v>1222.75</v>
      </c>
      <c r="L50" s="13">
        <f>J50*(I50-H50)</f>
        <v>366.82499999999993</v>
      </c>
      <c r="M50" s="16">
        <f>L50/K50</f>
        <v>0.29999999999999993</v>
      </c>
    </row>
    <row r="51" spans="1:13" x14ac:dyDescent="0.3">
      <c r="A51" s="15" t="s">
        <v>89</v>
      </c>
      <c r="B51" s="2" t="s">
        <v>17</v>
      </c>
      <c r="C51" s="12" t="s">
        <v>37</v>
      </c>
      <c r="D51" s="13" t="s">
        <v>13</v>
      </c>
      <c r="E51" s="14" t="s">
        <v>88</v>
      </c>
      <c r="F51" s="13">
        <v>61701</v>
      </c>
      <c r="G51" s="13" t="s">
        <v>32</v>
      </c>
      <c r="H51" s="13">
        <v>27.871200000000002</v>
      </c>
      <c r="I51" s="13">
        <v>39.816000000000003</v>
      </c>
      <c r="J51" s="13">
        <v>3</v>
      </c>
      <c r="K51" s="13">
        <f>I51*J51</f>
        <v>119.44800000000001</v>
      </c>
      <c r="L51" s="13">
        <f>J51*(I51-H51)</f>
        <v>35.834400000000002</v>
      </c>
      <c r="M51" s="16">
        <f>L51/K51</f>
        <v>0.3</v>
      </c>
    </row>
    <row r="52" spans="1:13" x14ac:dyDescent="0.3">
      <c r="A52" s="15" t="s">
        <v>31</v>
      </c>
      <c r="B52" s="2" t="s">
        <v>17</v>
      </c>
      <c r="C52" s="12" t="s">
        <v>23</v>
      </c>
      <c r="D52" s="13" t="s">
        <v>24</v>
      </c>
      <c r="E52" s="14" t="s">
        <v>30</v>
      </c>
      <c r="F52" s="13">
        <v>78745</v>
      </c>
      <c r="G52" s="13" t="s">
        <v>32</v>
      </c>
      <c r="H52" s="13">
        <v>1007.9874</v>
      </c>
      <c r="I52" s="13">
        <v>1439.982</v>
      </c>
      <c r="J52" s="13">
        <v>3</v>
      </c>
      <c r="K52" s="13">
        <f>I52*J52</f>
        <v>4319.9459999999999</v>
      </c>
      <c r="L52" s="13">
        <f>J52*(I52-H52)</f>
        <v>1295.9838</v>
      </c>
      <c r="M52" s="16">
        <f>L52/K52</f>
        <v>0.3</v>
      </c>
    </row>
    <row r="53" spans="1:13" x14ac:dyDescent="0.3">
      <c r="A53" s="15" t="s">
        <v>99</v>
      </c>
      <c r="B53" s="2" t="s">
        <v>17</v>
      </c>
      <c r="C53" s="12" t="s">
        <v>18</v>
      </c>
      <c r="D53" s="13" t="s">
        <v>19</v>
      </c>
      <c r="E53" s="14" t="s">
        <v>94</v>
      </c>
      <c r="F53" s="13">
        <v>90004</v>
      </c>
      <c r="G53" s="13" t="s">
        <v>32</v>
      </c>
      <c r="H53" s="13">
        <v>55.992999999999995</v>
      </c>
      <c r="I53" s="13">
        <v>79.989999999999995</v>
      </c>
      <c r="J53" s="13">
        <v>1</v>
      </c>
      <c r="K53" s="13">
        <f>I53*J53</f>
        <v>79.989999999999995</v>
      </c>
      <c r="L53" s="13">
        <f>J53*(I53-H53)</f>
        <v>23.997</v>
      </c>
      <c r="M53" s="16">
        <f>L53/K53</f>
        <v>0.30000000000000004</v>
      </c>
    </row>
    <row r="54" spans="1:13" x14ac:dyDescent="0.3">
      <c r="A54" s="15" t="s">
        <v>66</v>
      </c>
      <c r="B54" s="2" t="s">
        <v>17</v>
      </c>
      <c r="C54" s="12" t="s">
        <v>28</v>
      </c>
      <c r="D54" s="13" t="s">
        <v>13</v>
      </c>
      <c r="E54" s="14" t="s">
        <v>62</v>
      </c>
      <c r="F54" s="13">
        <v>10035</v>
      </c>
      <c r="G54" s="13" t="s">
        <v>15</v>
      </c>
      <c r="H54" s="13">
        <v>68.207999999999998</v>
      </c>
      <c r="I54" s="13">
        <v>97.44</v>
      </c>
      <c r="J54" s="13">
        <v>3</v>
      </c>
      <c r="K54" s="13">
        <f>I54*J54</f>
        <v>292.32</v>
      </c>
      <c r="L54" s="13">
        <f>J54*(I54-H54)</f>
        <v>87.695999999999998</v>
      </c>
      <c r="M54" s="16">
        <f>L54/K54</f>
        <v>0.3</v>
      </c>
    </row>
    <row r="55" spans="1:13" x14ac:dyDescent="0.3">
      <c r="A55" s="15" t="s">
        <v>81</v>
      </c>
      <c r="B55" s="2" t="s">
        <v>17</v>
      </c>
      <c r="C55" s="12" t="s">
        <v>37</v>
      </c>
      <c r="D55" s="13" t="s">
        <v>13</v>
      </c>
      <c r="E55" s="14" t="s">
        <v>82</v>
      </c>
      <c r="F55" s="13">
        <v>42420</v>
      </c>
      <c r="G55" s="13" t="s">
        <v>15</v>
      </c>
      <c r="H55" s="13">
        <v>575.31599999999992</v>
      </c>
      <c r="I55" s="13">
        <v>821.87999999999988</v>
      </c>
      <c r="J55" s="13">
        <v>6</v>
      </c>
      <c r="K55" s="13">
        <f>I55*J55</f>
        <v>4931.2799999999988</v>
      </c>
      <c r="L55" s="13">
        <f>J55*(I55-H55)</f>
        <v>1479.3839999999998</v>
      </c>
      <c r="M55" s="16">
        <f>L55/K55</f>
        <v>0.30000000000000004</v>
      </c>
    </row>
    <row r="56" spans="1:13" x14ac:dyDescent="0.3">
      <c r="A56" s="15" t="s">
        <v>107</v>
      </c>
      <c r="B56" s="2" t="s">
        <v>17</v>
      </c>
      <c r="C56" s="12" t="s">
        <v>37</v>
      </c>
      <c r="D56" s="13" t="s">
        <v>13</v>
      </c>
      <c r="E56" s="14" t="s">
        <v>106</v>
      </c>
      <c r="F56" s="13">
        <v>85023</v>
      </c>
      <c r="G56" s="13" t="s">
        <v>15</v>
      </c>
      <c r="H56" s="13">
        <v>275.21550000000002</v>
      </c>
      <c r="I56" s="13">
        <v>393.16500000000002</v>
      </c>
      <c r="J56" s="13">
        <v>3</v>
      </c>
      <c r="K56" s="13">
        <f>I56*J56</f>
        <v>1179.4950000000001</v>
      </c>
      <c r="L56" s="13">
        <f>J56*(I56-H56)</f>
        <v>353.8485</v>
      </c>
      <c r="M56" s="16">
        <f>L56/K56</f>
        <v>0.3</v>
      </c>
    </row>
    <row r="57" spans="1:13" x14ac:dyDescent="0.3">
      <c r="A57" s="15" t="s">
        <v>96</v>
      </c>
      <c r="B57" s="2" t="s">
        <v>17</v>
      </c>
      <c r="C57" s="12" t="s">
        <v>45</v>
      </c>
      <c r="D57" s="13" t="s">
        <v>24</v>
      </c>
      <c r="E57" s="14" t="s">
        <v>94</v>
      </c>
      <c r="F57" s="13">
        <v>90004</v>
      </c>
      <c r="G57" s="13" t="s">
        <v>15</v>
      </c>
      <c r="H57" s="13">
        <v>195.61920000000003</v>
      </c>
      <c r="I57" s="13">
        <v>279.45600000000002</v>
      </c>
      <c r="J57" s="13">
        <v>6</v>
      </c>
      <c r="K57" s="13">
        <f>I57*J57</f>
        <v>1676.7360000000001</v>
      </c>
      <c r="L57" s="13">
        <f>J57*(I57-H57)</f>
        <v>503.02079999999989</v>
      </c>
      <c r="M57" s="16">
        <f>L57/K57</f>
        <v>0.29999999999999993</v>
      </c>
    </row>
    <row r="58" spans="1:13" x14ac:dyDescent="0.3">
      <c r="A58" s="15" t="s">
        <v>97</v>
      </c>
      <c r="B58" s="2" t="s">
        <v>17</v>
      </c>
      <c r="C58" s="12" t="s">
        <v>23</v>
      </c>
      <c r="D58" s="13" t="s">
        <v>24</v>
      </c>
      <c r="E58" s="14" t="s">
        <v>94</v>
      </c>
      <c r="F58" s="13">
        <v>91104</v>
      </c>
      <c r="G58" s="13" t="s">
        <v>15</v>
      </c>
      <c r="H58" s="13">
        <v>119.9016</v>
      </c>
      <c r="I58" s="13">
        <v>171.28800000000001</v>
      </c>
      <c r="J58" s="13">
        <v>3</v>
      </c>
      <c r="K58" s="13">
        <f>I58*J58</f>
        <v>513.86400000000003</v>
      </c>
      <c r="L58" s="13">
        <f>J58*(I58-H58)</f>
        <v>154.15920000000003</v>
      </c>
      <c r="M58" s="16">
        <f>L58/K58</f>
        <v>0.30000000000000004</v>
      </c>
    </row>
    <row r="59" spans="1:13" x14ac:dyDescent="0.3">
      <c r="A59" s="15" t="s">
        <v>16</v>
      </c>
      <c r="B59" s="2" t="s">
        <v>17</v>
      </c>
      <c r="C59" s="12" t="s">
        <v>18</v>
      </c>
      <c r="D59" s="13" t="s">
        <v>19</v>
      </c>
      <c r="E59" s="14" t="s">
        <v>14</v>
      </c>
      <c r="F59" s="13">
        <v>98105</v>
      </c>
      <c r="G59" s="13" t="s">
        <v>15</v>
      </c>
      <c r="H59" s="13">
        <v>1425.8020000000001</v>
      </c>
      <c r="I59" s="13">
        <v>2036.8600000000001</v>
      </c>
      <c r="J59" s="13">
        <v>7</v>
      </c>
      <c r="K59" s="13">
        <f>I59*J59</f>
        <v>14258.02</v>
      </c>
      <c r="L59" s="13">
        <f>J59*(I59-H59)</f>
        <v>4277.4059999999999</v>
      </c>
      <c r="M59" s="16">
        <f>L59/K59</f>
        <v>0.3</v>
      </c>
    </row>
    <row r="60" spans="1:13" x14ac:dyDescent="0.3">
      <c r="A60" s="22" t="s">
        <v>26</v>
      </c>
      <c r="B60" s="23" t="s">
        <v>17</v>
      </c>
      <c r="C60" s="26" t="s">
        <v>18</v>
      </c>
      <c r="D60" s="24" t="s">
        <v>19</v>
      </c>
      <c r="E60" s="27" t="s">
        <v>25</v>
      </c>
      <c r="F60" s="24">
        <v>22980</v>
      </c>
      <c r="G60" s="24" t="s">
        <v>15</v>
      </c>
      <c r="H60" s="24">
        <v>89.515999999999991</v>
      </c>
      <c r="I60" s="24">
        <v>127.88</v>
      </c>
      <c r="J60" s="24">
        <v>2</v>
      </c>
      <c r="K60" s="24">
        <f>I60*J60</f>
        <v>255.76</v>
      </c>
      <c r="L60" s="24">
        <f>J60*(I60-H60)</f>
        <v>76.728000000000009</v>
      </c>
      <c r="M60" s="25">
        <f>L60/K60</f>
        <v>0.30000000000000004</v>
      </c>
    </row>
    <row r="61" spans="1:13" x14ac:dyDescent="0.3">
      <c r="E61"/>
    </row>
    <row r="62" spans="1:13" x14ac:dyDescent="0.3">
      <c r="E62"/>
    </row>
    <row r="63" spans="1:13" x14ac:dyDescent="0.3">
      <c r="E63"/>
    </row>
    <row r="64" spans="1:13" x14ac:dyDescent="0.3">
      <c r="E64"/>
    </row>
    <row r="65" spans="5:5" x14ac:dyDescent="0.3">
      <c r="E65"/>
    </row>
    <row r="66" spans="5:5" x14ac:dyDescent="0.3">
      <c r="E66"/>
    </row>
    <row r="67" spans="5:5" x14ac:dyDescent="0.3">
      <c r="E67"/>
    </row>
    <row r="68" spans="5:5" x14ac:dyDescent="0.3">
      <c r="E68"/>
    </row>
    <row r="69" spans="5:5" x14ac:dyDescent="0.3">
      <c r="E69"/>
    </row>
    <row r="70" spans="5:5" x14ac:dyDescent="0.3">
      <c r="E70"/>
    </row>
    <row r="71" spans="5:5" x14ac:dyDescent="0.3">
      <c r="E71"/>
    </row>
    <row r="72" spans="5:5" x14ac:dyDescent="0.3">
      <c r="E72"/>
    </row>
    <row r="73" spans="5:5" x14ac:dyDescent="0.3">
      <c r="E73"/>
    </row>
    <row r="74" spans="5:5" x14ac:dyDescent="0.3">
      <c r="E74"/>
    </row>
    <row r="75" spans="5:5" x14ac:dyDescent="0.3">
      <c r="E75"/>
    </row>
    <row r="76" spans="5:5" x14ac:dyDescent="0.3">
      <c r="E76"/>
    </row>
    <row r="77" spans="5:5" x14ac:dyDescent="0.3">
      <c r="E77"/>
    </row>
    <row r="78" spans="5:5" x14ac:dyDescent="0.3">
      <c r="E78"/>
    </row>
    <row r="79" spans="5:5" x14ac:dyDescent="0.3">
      <c r="E79"/>
    </row>
    <row r="80" spans="5:5" x14ac:dyDescent="0.3">
      <c r="E80"/>
    </row>
    <row r="81" spans="5:5" x14ac:dyDescent="0.3">
      <c r="E81"/>
    </row>
    <row r="82" spans="5:5" x14ac:dyDescent="0.3">
      <c r="E82"/>
    </row>
    <row r="83" spans="5:5" x14ac:dyDescent="0.3">
      <c r="E83"/>
    </row>
    <row r="84" spans="5:5" x14ac:dyDescent="0.3">
      <c r="E84"/>
    </row>
    <row r="85" spans="5:5" x14ac:dyDescent="0.3">
      <c r="E85"/>
    </row>
    <row r="86" spans="5:5" x14ac:dyDescent="0.3">
      <c r="E86"/>
    </row>
    <row r="87" spans="5:5" x14ac:dyDescent="0.3">
      <c r="E87"/>
    </row>
    <row r="88" spans="5:5" x14ac:dyDescent="0.3">
      <c r="E88"/>
    </row>
    <row r="89" spans="5:5" x14ac:dyDescent="0.3">
      <c r="E89"/>
    </row>
    <row r="90" spans="5:5" x14ac:dyDescent="0.3">
      <c r="E90"/>
    </row>
    <row r="91" spans="5:5" x14ac:dyDescent="0.3">
      <c r="E91"/>
    </row>
    <row r="92" spans="5:5" x14ac:dyDescent="0.3">
      <c r="E92"/>
    </row>
    <row r="93" spans="5:5" x14ac:dyDescent="0.3">
      <c r="E93"/>
    </row>
    <row r="94" spans="5:5" x14ac:dyDescent="0.3">
      <c r="E94"/>
    </row>
    <row r="95" spans="5:5" x14ac:dyDescent="0.3">
      <c r="E95"/>
    </row>
    <row r="96" spans="5:5" x14ac:dyDescent="0.3">
      <c r="E96"/>
    </row>
    <row r="97" spans="5:5" x14ac:dyDescent="0.3">
      <c r="E97"/>
    </row>
    <row r="98" spans="5:5" x14ac:dyDescent="0.3">
      <c r="E98"/>
    </row>
    <row r="99" spans="5:5" x14ac:dyDescent="0.3">
      <c r="E99"/>
    </row>
    <row r="100" spans="5:5" x14ac:dyDescent="0.3">
      <c r="E100"/>
    </row>
    <row r="101" spans="5:5" x14ac:dyDescent="0.3">
      <c r="E101"/>
    </row>
    <row r="102" spans="5:5" x14ac:dyDescent="0.3">
      <c r="E102"/>
    </row>
    <row r="103" spans="5:5" x14ac:dyDescent="0.3">
      <c r="E103"/>
    </row>
    <row r="104" spans="5:5" x14ac:dyDescent="0.3">
      <c r="E104"/>
    </row>
    <row r="105" spans="5:5" x14ac:dyDescent="0.3">
      <c r="E105"/>
    </row>
    <row r="106" spans="5:5" x14ac:dyDescent="0.3">
      <c r="E106"/>
    </row>
    <row r="107" spans="5:5" x14ac:dyDescent="0.3">
      <c r="E107"/>
    </row>
    <row r="108" spans="5:5" x14ac:dyDescent="0.3">
      <c r="E108"/>
    </row>
    <row r="109" spans="5:5" x14ac:dyDescent="0.3">
      <c r="E109"/>
    </row>
    <row r="110" spans="5:5" x14ac:dyDescent="0.3">
      <c r="E110"/>
    </row>
    <row r="111" spans="5:5" x14ac:dyDescent="0.3">
      <c r="E111"/>
    </row>
    <row r="112" spans="5:5" x14ac:dyDescent="0.3">
      <c r="E112"/>
    </row>
    <row r="113" spans="5:5" x14ac:dyDescent="0.3">
      <c r="E113"/>
    </row>
    <row r="114" spans="5:5" x14ac:dyDescent="0.3">
      <c r="E114"/>
    </row>
    <row r="115" spans="5:5" x14ac:dyDescent="0.3">
      <c r="E115"/>
    </row>
    <row r="116" spans="5:5" x14ac:dyDescent="0.3">
      <c r="E116"/>
    </row>
    <row r="117" spans="5:5" x14ac:dyDescent="0.3">
      <c r="E117"/>
    </row>
    <row r="118" spans="5:5" x14ac:dyDescent="0.3">
      <c r="E118"/>
    </row>
    <row r="119" spans="5:5" x14ac:dyDescent="0.3">
      <c r="E119"/>
    </row>
    <row r="120" spans="5:5" x14ac:dyDescent="0.3">
      <c r="E120"/>
    </row>
    <row r="121" spans="5:5" x14ac:dyDescent="0.3">
      <c r="E121"/>
    </row>
    <row r="122" spans="5:5" x14ac:dyDescent="0.3">
      <c r="E122"/>
    </row>
    <row r="123" spans="5:5" x14ac:dyDescent="0.3">
      <c r="E123"/>
    </row>
    <row r="124" spans="5:5" x14ac:dyDescent="0.3">
      <c r="E124"/>
    </row>
    <row r="125" spans="5:5" x14ac:dyDescent="0.3">
      <c r="E125"/>
    </row>
    <row r="126" spans="5:5" x14ac:dyDescent="0.3">
      <c r="E126"/>
    </row>
    <row r="127" spans="5:5" x14ac:dyDescent="0.3">
      <c r="E127"/>
    </row>
    <row r="128" spans="5:5" x14ac:dyDescent="0.3">
      <c r="E128"/>
    </row>
    <row r="129" spans="5:5" x14ac:dyDescent="0.3">
      <c r="E129"/>
    </row>
    <row r="130" spans="5:5" x14ac:dyDescent="0.3">
      <c r="E130"/>
    </row>
    <row r="131" spans="5:5" x14ac:dyDescent="0.3">
      <c r="E131"/>
    </row>
    <row r="132" spans="5:5" x14ac:dyDescent="0.3">
      <c r="E132"/>
    </row>
    <row r="133" spans="5:5" x14ac:dyDescent="0.3">
      <c r="E133"/>
    </row>
    <row r="134" spans="5:5" x14ac:dyDescent="0.3">
      <c r="E134"/>
    </row>
    <row r="135" spans="5:5" x14ac:dyDescent="0.3">
      <c r="E135"/>
    </row>
    <row r="136" spans="5:5" x14ac:dyDescent="0.3">
      <c r="E136"/>
    </row>
    <row r="137" spans="5:5" x14ac:dyDescent="0.3">
      <c r="E137"/>
    </row>
    <row r="138" spans="5:5" x14ac:dyDescent="0.3">
      <c r="E138"/>
    </row>
    <row r="139" spans="5:5" x14ac:dyDescent="0.3">
      <c r="E139"/>
    </row>
    <row r="140" spans="5:5" x14ac:dyDescent="0.3">
      <c r="E140"/>
    </row>
    <row r="141" spans="5:5" x14ac:dyDescent="0.3">
      <c r="E141"/>
    </row>
    <row r="142" spans="5:5" x14ac:dyDescent="0.3">
      <c r="E142"/>
    </row>
    <row r="143" spans="5:5" x14ac:dyDescent="0.3">
      <c r="E143"/>
    </row>
    <row r="144" spans="5:5" x14ac:dyDescent="0.3">
      <c r="E144"/>
    </row>
    <row r="145" spans="5:5" x14ac:dyDescent="0.3">
      <c r="E145"/>
    </row>
    <row r="146" spans="5:5" x14ac:dyDescent="0.3">
      <c r="E146"/>
    </row>
    <row r="147" spans="5:5" x14ac:dyDescent="0.3">
      <c r="E147"/>
    </row>
    <row r="148" spans="5:5" x14ac:dyDescent="0.3">
      <c r="E148"/>
    </row>
    <row r="149" spans="5:5" x14ac:dyDescent="0.3">
      <c r="E149"/>
    </row>
    <row r="150" spans="5:5" x14ac:dyDescent="0.3">
      <c r="E150"/>
    </row>
    <row r="151" spans="5:5" x14ac:dyDescent="0.3">
      <c r="E151"/>
    </row>
    <row r="152" spans="5:5" x14ac:dyDescent="0.3">
      <c r="E152"/>
    </row>
    <row r="153" spans="5:5" x14ac:dyDescent="0.3">
      <c r="E153"/>
    </row>
    <row r="154" spans="5:5" x14ac:dyDescent="0.3">
      <c r="E154"/>
    </row>
    <row r="155" spans="5:5" x14ac:dyDescent="0.3">
      <c r="E155"/>
    </row>
    <row r="156" spans="5:5" x14ac:dyDescent="0.3">
      <c r="E156"/>
    </row>
    <row r="157" spans="5:5" x14ac:dyDescent="0.3">
      <c r="E157"/>
    </row>
    <row r="158" spans="5:5" x14ac:dyDescent="0.3">
      <c r="E158"/>
    </row>
    <row r="159" spans="5:5" x14ac:dyDescent="0.3">
      <c r="E159"/>
    </row>
    <row r="160" spans="5:5" x14ac:dyDescent="0.3">
      <c r="E160"/>
    </row>
    <row r="161" spans="5:5" x14ac:dyDescent="0.3">
      <c r="E161"/>
    </row>
    <row r="162" spans="5:5" x14ac:dyDescent="0.3">
      <c r="E162"/>
    </row>
    <row r="163" spans="5:5" x14ac:dyDescent="0.3">
      <c r="E163"/>
    </row>
    <row r="164" spans="5:5" x14ac:dyDescent="0.3">
      <c r="E164"/>
    </row>
    <row r="165" spans="5:5" x14ac:dyDescent="0.3">
      <c r="E165"/>
    </row>
    <row r="166" spans="5:5" x14ac:dyDescent="0.3">
      <c r="E166"/>
    </row>
    <row r="167" spans="5:5" x14ac:dyDescent="0.3">
      <c r="E167"/>
    </row>
    <row r="168" spans="5:5" x14ac:dyDescent="0.3">
      <c r="E168"/>
    </row>
    <row r="169" spans="5:5" x14ac:dyDescent="0.3">
      <c r="E169"/>
    </row>
    <row r="170" spans="5:5" x14ac:dyDescent="0.3">
      <c r="E170"/>
    </row>
    <row r="171" spans="5:5" x14ac:dyDescent="0.3">
      <c r="E171"/>
    </row>
    <row r="172" spans="5:5" x14ac:dyDescent="0.3">
      <c r="E172"/>
    </row>
    <row r="173" spans="5:5" x14ac:dyDescent="0.3">
      <c r="E173"/>
    </row>
    <row r="174" spans="5:5" x14ac:dyDescent="0.3">
      <c r="E174"/>
    </row>
    <row r="175" spans="5:5" x14ac:dyDescent="0.3">
      <c r="E175"/>
    </row>
    <row r="176" spans="5:5" x14ac:dyDescent="0.3">
      <c r="E176"/>
    </row>
    <row r="177" spans="5:5" x14ac:dyDescent="0.3">
      <c r="E177"/>
    </row>
    <row r="178" spans="5:5" x14ac:dyDescent="0.3">
      <c r="E178"/>
    </row>
  </sheetData>
  <sortState xmlns:xlrd2="http://schemas.microsoft.com/office/spreadsheetml/2017/richdata2" ref="A2:J60">
    <sortCondition ref="B2:B60"/>
    <sortCondition ref="G2:G60"/>
    <sortCondition ref="D2:D60"/>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F287-6314-4231-B5F2-FE424210D6FD}">
  <dimension ref="H1:S60"/>
  <sheetViews>
    <sheetView tabSelected="1" topLeftCell="F1" zoomScale="81" workbookViewId="0">
      <selection activeCell="L7" sqref="L7"/>
    </sheetView>
  </sheetViews>
  <sheetFormatPr defaultRowHeight="14.4" x14ac:dyDescent="0.3"/>
  <cols>
    <col min="3" max="3" width="11.21875" bestFit="1" customWidth="1"/>
    <col min="5" max="5" width="13.33203125" bestFit="1" customWidth="1"/>
    <col min="6" max="6" width="14.6640625" bestFit="1" customWidth="1"/>
    <col min="7" max="7" width="2.88671875" customWidth="1"/>
    <col min="8" max="8" width="13.109375" customWidth="1"/>
    <col min="9" max="9" width="16.21875" customWidth="1"/>
    <col min="10" max="10" width="14.6640625" customWidth="1"/>
    <col min="11" max="11" width="25.33203125" customWidth="1"/>
    <col min="12" max="12" width="11" customWidth="1"/>
    <col min="13" max="13" width="9" bestFit="1" customWidth="1"/>
    <col min="15" max="15" width="20.5546875" bestFit="1" customWidth="1"/>
    <col min="16" max="16" width="23.44140625" bestFit="1" customWidth="1"/>
    <col min="17" max="17" width="10" bestFit="1" customWidth="1"/>
    <col min="19" max="19" width="9.6640625" bestFit="1" customWidth="1"/>
  </cols>
  <sheetData>
    <row r="1" spans="8:19" x14ac:dyDescent="0.3">
      <c r="M1" s="10" t="s">
        <v>128</v>
      </c>
      <c r="N1" s="10" t="s">
        <v>129</v>
      </c>
      <c r="O1" s="32" t="s">
        <v>155</v>
      </c>
      <c r="P1" s="32" t="s">
        <v>156</v>
      </c>
      <c r="Q1" s="40" t="s">
        <v>158</v>
      </c>
      <c r="R1" s="32" t="s">
        <v>132</v>
      </c>
      <c r="S1" s="32" t="s">
        <v>133</v>
      </c>
    </row>
    <row r="2" spans="8:19" x14ac:dyDescent="0.3">
      <c r="M2" s="37" t="str">
        <f>VLOOKUP(Raw_data!A2,SalesData[],7,)</f>
        <v>Laptop</v>
      </c>
      <c r="N2" s="38" t="s">
        <v>25</v>
      </c>
      <c r="O2" t="str" cm="1">
        <f t="array" ref="O2:O60">IF(SalesData[Profit]&gt;200,"High Profit","Low Profit")</f>
        <v>Low Profit</v>
      </c>
      <c r="P2" t="str" cm="1">
        <f t="array" ref="P2:P60">_xlfn.IFS(SalesData[Sales]&gt;1100,"High",SalesData[Sales]&gt;800,"Medium",TRUE,"Low")</f>
        <v>Low</v>
      </c>
      <c r="Q2" t="s">
        <v>21</v>
      </c>
      <c r="R2">
        <f>SUMIFS(SalesData[Sales],SalesData[Category],Raw_data!G4)</f>
        <v>138997.06299999997</v>
      </c>
      <c r="S2">
        <f>COUNTIFS(SalesData[Category],SalesData[[#This Row],[Category]])</f>
        <v>34</v>
      </c>
    </row>
    <row r="3" spans="8:19" x14ac:dyDescent="0.3">
      <c r="M3" s="37"/>
      <c r="N3" s="39" t="s">
        <v>21</v>
      </c>
      <c r="O3" t="str">
        <v>Low Profit</v>
      </c>
      <c r="P3" t="str">
        <v>Low</v>
      </c>
      <c r="Q3" s="39" t="s">
        <v>15</v>
      </c>
      <c r="R3">
        <f>SUMIFS(SalesData[Sales],SalesData[Category],Raw_data!G18)</f>
        <v>28641.494999999999</v>
      </c>
      <c r="S3">
        <f>COUNTIFS(SalesData[Category],Raw_data!G18)</f>
        <v>14</v>
      </c>
    </row>
    <row r="4" spans="8:19" x14ac:dyDescent="0.3">
      <c r="M4" s="37"/>
      <c r="N4" s="37"/>
      <c r="O4" t="str">
        <v>Low Profit</v>
      </c>
      <c r="P4" t="str">
        <v>Low</v>
      </c>
      <c r="Q4" s="39" t="s">
        <v>32</v>
      </c>
      <c r="R4">
        <f>SUMIFS(SalesData[Sales],SalesData[Category],Raw_data!G13)</f>
        <v>9133.148000000001</v>
      </c>
      <c r="S4">
        <f>COUNTIFS(SalesData[Category],Raw_data!G15)</f>
        <v>11</v>
      </c>
    </row>
    <row r="5" spans="8:19" x14ac:dyDescent="0.3">
      <c r="N5" cm="1">
        <f t="array" ref="N5">_xlfn.XLOOKUP(Formulas!N2&amp;Formulas!N3,Raw_data!E:E&amp;Raw_data!G:G,Raw_data!I:I,1)</f>
        <v>34.650000000000006</v>
      </c>
      <c r="O5" t="str">
        <v>Low Profit</v>
      </c>
      <c r="P5" t="str">
        <v>Low</v>
      </c>
    </row>
    <row r="6" spans="8:19" x14ac:dyDescent="0.3">
      <c r="O6" t="str">
        <v>Low Profit</v>
      </c>
      <c r="P6" t="str">
        <v>Low</v>
      </c>
    </row>
    <row r="7" spans="8:19" x14ac:dyDescent="0.3">
      <c r="H7" s="33" t="s">
        <v>134</v>
      </c>
      <c r="I7" s="33" t="s">
        <v>135</v>
      </c>
      <c r="J7" s="33" t="s">
        <v>136</v>
      </c>
      <c r="K7" s="33" t="s">
        <v>137</v>
      </c>
      <c r="L7" s="29"/>
      <c r="O7" t="str">
        <v>Low Profit</v>
      </c>
      <c r="P7" t="str">
        <v>Low</v>
      </c>
    </row>
    <row r="8" spans="8:19" x14ac:dyDescent="0.3">
      <c r="H8" s="34" t="s">
        <v>128</v>
      </c>
      <c r="I8" s="34" t="s">
        <v>138</v>
      </c>
      <c r="J8" s="34" t="s">
        <v>139</v>
      </c>
      <c r="K8" s="34" t="s">
        <v>140</v>
      </c>
      <c r="L8" s="35"/>
      <c r="O8" t="str">
        <v>Low Profit</v>
      </c>
      <c r="P8" t="str">
        <v>Low</v>
      </c>
    </row>
    <row r="9" spans="8:19" x14ac:dyDescent="0.3">
      <c r="H9" s="34" t="s">
        <v>129</v>
      </c>
      <c r="I9" s="34" t="s">
        <v>141</v>
      </c>
      <c r="J9" s="34" t="s">
        <v>142</v>
      </c>
      <c r="K9" s="34" t="s">
        <v>143</v>
      </c>
      <c r="L9" s="36"/>
      <c r="O9" t="str">
        <v>Low Profit</v>
      </c>
      <c r="P9" t="str">
        <v>Low</v>
      </c>
    </row>
    <row r="10" spans="8:19" x14ac:dyDescent="0.3">
      <c r="H10" s="34" t="s">
        <v>131</v>
      </c>
      <c r="I10" s="34" t="s">
        <v>144</v>
      </c>
      <c r="J10" s="34" t="s">
        <v>145</v>
      </c>
      <c r="K10" s="34" t="s">
        <v>157</v>
      </c>
      <c r="O10" t="str">
        <v>Low Profit</v>
      </c>
      <c r="P10" t="str">
        <v>Low</v>
      </c>
    </row>
    <row r="11" spans="8:19" x14ac:dyDescent="0.3">
      <c r="H11" s="34" t="s">
        <v>130</v>
      </c>
      <c r="I11" s="34" t="s">
        <v>146</v>
      </c>
      <c r="J11" s="34" t="s">
        <v>147</v>
      </c>
      <c r="K11" s="34" t="s">
        <v>148</v>
      </c>
      <c r="O11" t="str">
        <v>High Profit</v>
      </c>
      <c r="P11" t="str">
        <v>High</v>
      </c>
    </row>
    <row r="12" spans="8:19" x14ac:dyDescent="0.3">
      <c r="H12" s="34" t="s">
        <v>132</v>
      </c>
      <c r="I12" s="34" t="s">
        <v>149</v>
      </c>
      <c r="J12" s="34" t="s">
        <v>150</v>
      </c>
      <c r="K12" s="34" t="s">
        <v>151</v>
      </c>
      <c r="O12" t="str">
        <v>Low Profit</v>
      </c>
      <c r="P12" t="str">
        <v>Low</v>
      </c>
    </row>
    <row r="13" spans="8:19" x14ac:dyDescent="0.3">
      <c r="H13" s="34" t="s">
        <v>133</v>
      </c>
      <c r="I13" s="34" t="s">
        <v>152</v>
      </c>
      <c r="J13" s="34" t="s">
        <v>153</v>
      </c>
      <c r="K13" s="34" t="s">
        <v>154</v>
      </c>
      <c r="O13" t="str">
        <v>High Profit</v>
      </c>
      <c r="P13" t="str">
        <v>Low</v>
      </c>
    </row>
    <row r="14" spans="8:19" x14ac:dyDescent="0.3">
      <c r="O14" t="str">
        <v>Low Profit</v>
      </c>
      <c r="P14" t="str">
        <v>Low</v>
      </c>
    </row>
    <row r="15" spans="8:19" x14ac:dyDescent="0.3">
      <c r="O15" t="str">
        <v>High Profit</v>
      </c>
      <c r="P15" t="str">
        <v>High</v>
      </c>
    </row>
    <row r="16" spans="8:19" x14ac:dyDescent="0.3">
      <c r="O16" t="str">
        <v>Low Profit</v>
      </c>
      <c r="P16" t="str">
        <v>Low</v>
      </c>
    </row>
    <row r="17" spans="15:16" x14ac:dyDescent="0.3">
      <c r="O17" t="str">
        <v>Low Profit</v>
      </c>
      <c r="P17" t="str">
        <v>Low</v>
      </c>
    </row>
    <row r="18" spans="15:16" x14ac:dyDescent="0.3">
      <c r="O18" t="str">
        <v>Low Profit</v>
      </c>
      <c r="P18" t="str">
        <v>Low</v>
      </c>
    </row>
    <row r="19" spans="15:16" x14ac:dyDescent="0.3">
      <c r="O19" t="str">
        <v>High Profit</v>
      </c>
      <c r="P19" t="str">
        <v>Medium</v>
      </c>
    </row>
    <row r="20" spans="15:16" x14ac:dyDescent="0.3">
      <c r="O20" t="str">
        <v>High Profit</v>
      </c>
      <c r="P20" t="str">
        <v>Medium</v>
      </c>
    </row>
    <row r="21" spans="15:16" x14ac:dyDescent="0.3">
      <c r="O21" t="str">
        <v>High Profit</v>
      </c>
      <c r="P21" t="str">
        <v>Medium</v>
      </c>
    </row>
    <row r="22" spans="15:16" x14ac:dyDescent="0.3">
      <c r="O22" t="str">
        <v>Low Profit</v>
      </c>
      <c r="P22" t="str">
        <v>Low</v>
      </c>
    </row>
    <row r="23" spans="15:16" x14ac:dyDescent="0.3">
      <c r="O23" t="str">
        <v>High Profit</v>
      </c>
      <c r="P23" t="str">
        <v>Medium</v>
      </c>
    </row>
    <row r="24" spans="15:16" x14ac:dyDescent="0.3">
      <c r="O24" t="str">
        <v>Low Profit</v>
      </c>
      <c r="P24" t="str">
        <v>Low</v>
      </c>
    </row>
    <row r="25" spans="15:16" x14ac:dyDescent="0.3">
      <c r="O25" t="str">
        <v>Low Profit</v>
      </c>
      <c r="P25" t="str">
        <v>Low</v>
      </c>
    </row>
    <row r="26" spans="15:16" x14ac:dyDescent="0.3">
      <c r="O26" t="str">
        <v>High Profit</v>
      </c>
      <c r="P26" t="str">
        <v>High</v>
      </c>
    </row>
    <row r="27" spans="15:16" x14ac:dyDescent="0.3">
      <c r="O27" t="str">
        <v>Low Profit</v>
      </c>
      <c r="P27" t="str">
        <v>Low</v>
      </c>
    </row>
    <row r="28" spans="15:16" x14ac:dyDescent="0.3">
      <c r="O28" t="str">
        <v>High Profit</v>
      </c>
      <c r="P28" t="str">
        <v>Medium</v>
      </c>
    </row>
    <row r="29" spans="15:16" x14ac:dyDescent="0.3">
      <c r="O29" t="str">
        <v>Low Profit</v>
      </c>
      <c r="P29" t="str">
        <v>Low</v>
      </c>
    </row>
    <row r="30" spans="15:16" x14ac:dyDescent="0.3">
      <c r="O30" t="str">
        <v>Low Profit</v>
      </c>
      <c r="P30" t="str">
        <v>Low</v>
      </c>
    </row>
    <row r="31" spans="15:16" x14ac:dyDescent="0.3">
      <c r="O31" t="str">
        <v>Low Profit</v>
      </c>
      <c r="P31" t="str">
        <v>Low</v>
      </c>
    </row>
    <row r="32" spans="15:16" x14ac:dyDescent="0.3">
      <c r="O32" t="str">
        <v>Low Profit</v>
      </c>
      <c r="P32" t="str">
        <v>Low</v>
      </c>
    </row>
    <row r="33" spans="15:16" x14ac:dyDescent="0.3">
      <c r="O33" t="str">
        <v>Low Profit</v>
      </c>
      <c r="P33" t="str">
        <v>Low</v>
      </c>
    </row>
    <row r="34" spans="15:16" x14ac:dyDescent="0.3">
      <c r="O34" t="str">
        <v>Low Profit</v>
      </c>
      <c r="P34" t="str">
        <v>Low</v>
      </c>
    </row>
    <row r="35" spans="15:16" x14ac:dyDescent="0.3">
      <c r="O35" t="str">
        <v>Low Profit</v>
      </c>
      <c r="P35" t="str">
        <v>Low</v>
      </c>
    </row>
    <row r="36" spans="15:16" x14ac:dyDescent="0.3">
      <c r="O36" t="str">
        <v>High Profit</v>
      </c>
      <c r="P36" t="str">
        <v>High</v>
      </c>
    </row>
    <row r="37" spans="15:16" x14ac:dyDescent="0.3">
      <c r="O37" t="str">
        <v>Low Profit</v>
      </c>
      <c r="P37" t="str">
        <v>Low</v>
      </c>
    </row>
    <row r="38" spans="15:16" x14ac:dyDescent="0.3">
      <c r="O38" t="str">
        <v>Low Profit</v>
      </c>
      <c r="P38" t="str">
        <v>Low</v>
      </c>
    </row>
    <row r="39" spans="15:16" x14ac:dyDescent="0.3">
      <c r="O39" t="str">
        <v>Low Profit</v>
      </c>
      <c r="P39" t="str">
        <v>Low</v>
      </c>
    </row>
    <row r="40" spans="15:16" x14ac:dyDescent="0.3">
      <c r="O40" t="str">
        <v>Low Profit</v>
      </c>
      <c r="P40" t="str">
        <v>Low</v>
      </c>
    </row>
    <row r="41" spans="15:16" x14ac:dyDescent="0.3">
      <c r="O41" t="str">
        <v>High Profit</v>
      </c>
      <c r="P41" t="str">
        <v>Low</v>
      </c>
    </row>
    <row r="42" spans="15:16" x14ac:dyDescent="0.3">
      <c r="O42" t="str">
        <v>High Profit</v>
      </c>
      <c r="P42" t="str">
        <v>High</v>
      </c>
    </row>
    <row r="43" spans="15:16" x14ac:dyDescent="0.3">
      <c r="O43" t="str">
        <v>Low Profit</v>
      </c>
      <c r="P43" t="str">
        <v>Low</v>
      </c>
    </row>
    <row r="44" spans="15:16" x14ac:dyDescent="0.3">
      <c r="O44" t="str">
        <v>Low Profit</v>
      </c>
      <c r="P44" t="str">
        <v>Low</v>
      </c>
    </row>
    <row r="45" spans="15:16" x14ac:dyDescent="0.3">
      <c r="O45" t="str">
        <v>Low Profit</v>
      </c>
      <c r="P45" t="str">
        <v>Low</v>
      </c>
    </row>
    <row r="46" spans="15:16" x14ac:dyDescent="0.3">
      <c r="O46" t="str">
        <v>Low Profit</v>
      </c>
      <c r="P46" t="str">
        <v>Low</v>
      </c>
    </row>
    <row r="47" spans="15:16" x14ac:dyDescent="0.3">
      <c r="O47" t="str">
        <v>Low Profit</v>
      </c>
      <c r="P47" t="str">
        <v>Low</v>
      </c>
    </row>
    <row r="48" spans="15:16" x14ac:dyDescent="0.3">
      <c r="O48" t="str">
        <v>Low Profit</v>
      </c>
      <c r="P48" t="str">
        <v>Low</v>
      </c>
    </row>
    <row r="49" spans="15:16" x14ac:dyDescent="0.3">
      <c r="O49" t="str">
        <v>Low Profit</v>
      </c>
      <c r="P49" t="str">
        <v>Low</v>
      </c>
    </row>
    <row r="50" spans="15:16" x14ac:dyDescent="0.3">
      <c r="O50" t="str">
        <v>High Profit</v>
      </c>
      <c r="P50" t="str">
        <v>High</v>
      </c>
    </row>
    <row r="51" spans="15:16" x14ac:dyDescent="0.3">
      <c r="O51" t="str">
        <v>Low Profit</v>
      </c>
      <c r="P51" t="str">
        <v>Low</v>
      </c>
    </row>
    <row r="52" spans="15:16" x14ac:dyDescent="0.3">
      <c r="O52" t="str">
        <v>High Profit</v>
      </c>
      <c r="P52" t="str">
        <v>High</v>
      </c>
    </row>
    <row r="53" spans="15:16" x14ac:dyDescent="0.3">
      <c r="O53" t="str">
        <v>Low Profit</v>
      </c>
      <c r="P53" t="str">
        <v>Low</v>
      </c>
    </row>
    <row r="54" spans="15:16" x14ac:dyDescent="0.3">
      <c r="O54" t="str">
        <v>Low Profit</v>
      </c>
      <c r="P54" t="str">
        <v>Low</v>
      </c>
    </row>
    <row r="55" spans="15:16" x14ac:dyDescent="0.3">
      <c r="O55" t="str">
        <v>High Profit</v>
      </c>
      <c r="P55" t="str">
        <v>High</v>
      </c>
    </row>
    <row r="56" spans="15:16" x14ac:dyDescent="0.3">
      <c r="O56" t="str">
        <v>High Profit</v>
      </c>
      <c r="P56" t="str">
        <v>High</v>
      </c>
    </row>
    <row r="57" spans="15:16" x14ac:dyDescent="0.3">
      <c r="O57" t="str">
        <v>High Profit</v>
      </c>
      <c r="P57" t="str">
        <v>High</v>
      </c>
    </row>
    <row r="58" spans="15:16" x14ac:dyDescent="0.3">
      <c r="O58" t="str">
        <v>Low Profit</v>
      </c>
      <c r="P58" t="str">
        <v>Low</v>
      </c>
    </row>
    <row r="59" spans="15:16" x14ac:dyDescent="0.3">
      <c r="O59" t="str">
        <v>High Profit</v>
      </c>
      <c r="P59" t="str">
        <v>High</v>
      </c>
    </row>
    <row r="60" spans="15:16" x14ac:dyDescent="0.3">
      <c r="O60" t="str">
        <v>Low Profit</v>
      </c>
      <c r="P60" t="str">
        <v>Low</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5B5F-4CEC-4084-9C6F-4FEFA5DD1332}">
  <dimension ref="A3:I26"/>
  <sheetViews>
    <sheetView workbookViewId="0">
      <selection activeCell="F4" sqref="F4:F25"/>
      <pivotSelection pane="bottomRight" showHeader="1" activeRow="3" activeCol="5" click="1" r:id="rId1">
        <pivotArea dataOnly="0" labelOnly="1" fieldPosition="0">
          <references count="1">
            <reference field="4" count="0"/>
          </references>
        </pivotArea>
      </pivotSelection>
    </sheetView>
  </sheetViews>
  <sheetFormatPr defaultRowHeight="14.4" x14ac:dyDescent="0.3"/>
  <cols>
    <col min="1" max="1" width="12.44140625" bestFit="1" customWidth="1"/>
    <col min="2" max="3" width="11" bestFit="1" customWidth="1"/>
    <col min="4" max="4" width="12.5546875" bestFit="1" customWidth="1"/>
    <col min="5" max="5" width="11.5546875" bestFit="1" customWidth="1"/>
    <col min="6" max="6" width="14" bestFit="1" customWidth="1"/>
    <col min="7" max="8" width="11" bestFit="1" customWidth="1"/>
    <col min="9" max="9" width="12.5546875" bestFit="1" customWidth="1"/>
    <col min="10" max="23" width="11.5546875" bestFit="1" customWidth="1"/>
    <col min="24" max="25" width="16.109375" bestFit="1" customWidth="1"/>
    <col min="26" max="26" width="8.6640625" bestFit="1" customWidth="1"/>
    <col min="27" max="27" width="11" bestFit="1" customWidth="1"/>
    <col min="28" max="28" width="9.6640625" bestFit="1" customWidth="1"/>
    <col min="29" max="29" width="12" bestFit="1" customWidth="1"/>
    <col min="30" max="30" width="7.6640625" bestFit="1" customWidth="1"/>
    <col min="31" max="31" width="10" bestFit="1" customWidth="1"/>
    <col min="32" max="32" width="8.6640625" bestFit="1" customWidth="1"/>
    <col min="33" max="33" width="11" bestFit="1" customWidth="1"/>
    <col min="34" max="34" width="8.6640625" bestFit="1" customWidth="1"/>
    <col min="35" max="35" width="11" bestFit="1" customWidth="1"/>
    <col min="36" max="36" width="9.6640625" bestFit="1" customWidth="1"/>
    <col min="37" max="37" width="12" bestFit="1" customWidth="1"/>
    <col min="38" max="38" width="8.6640625" bestFit="1" customWidth="1"/>
    <col min="39" max="39" width="11" bestFit="1" customWidth="1"/>
    <col min="40" max="40" width="8.6640625" bestFit="1" customWidth="1"/>
    <col min="41" max="41" width="11" bestFit="1" customWidth="1"/>
    <col min="42" max="42" width="8.6640625" bestFit="1" customWidth="1"/>
    <col min="43" max="43" width="11" bestFit="1" customWidth="1"/>
    <col min="44" max="44" width="9.6640625" bestFit="1" customWidth="1"/>
    <col min="45" max="45" width="12" bestFit="1" customWidth="1"/>
    <col min="46" max="46" width="9.6640625" bestFit="1" customWidth="1"/>
    <col min="47" max="47" width="12" bestFit="1" customWidth="1"/>
    <col min="48" max="48" width="8.6640625" bestFit="1" customWidth="1"/>
    <col min="49" max="49" width="11" bestFit="1" customWidth="1"/>
    <col min="50" max="50" width="7.6640625" bestFit="1" customWidth="1"/>
    <col min="51" max="51" width="10" bestFit="1" customWidth="1"/>
    <col min="52" max="52" width="9.6640625" bestFit="1" customWidth="1"/>
    <col min="53" max="53" width="12" bestFit="1" customWidth="1"/>
    <col min="54" max="54" width="9.6640625" bestFit="1" customWidth="1"/>
    <col min="55" max="55" width="12" bestFit="1" customWidth="1"/>
    <col min="56" max="56" width="8.6640625" bestFit="1" customWidth="1"/>
    <col min="57" max="57" width="11" bestFit="1" customWidth="1"/>
    <col min="58" max="58" width="8.6640625" bestFit="1" customWidth="1"/>
    <col min="59" max="59" width="11" bestFit="1" customWidth="1"/>
    <col min="60" max="60" width="8.6640625" bestFit="1" customWidth="1"/>
    <col min="61" max="61" width="11" bestFit="1" customWidth="1"/>
    <col min="62" max="62" width="8.6640625" bestFit="1" customWidth="1"/>
    <col min="63" max="63" width="11" bestFit="1" customWidth="1"/>
    <col min="64" max="64" width="9.6640625" bestFit="1" customWidth="1"/>
    <col min="65" max="65" width="12" bestFit="1" customWidth="1"/>
    <col min="66" max="66" width="9.6640625" bestFit="1" customWidth="1"/>
    <col min="67" max="67" width="12" bestFit="1" customWidth="1"/>
    <col min="68" max="68" width="9.6640625" bestFit="1" customWidth="1"/>
    <col min="69" max="69" width="12" bestFit="1" customWidth="1"/>
    <col min="70" max="70" width="10.6640625" bestFit="1" customWidth="1"/>
    <col min="71" max="71" width="13.109375" bestFit="1" customWidth="1"/>
    <col min="72" max="72" width="8.6640625" bestFit="1" customWidth="1"/>
    <col min="73" max="73" width="11" bestFit="1" customWidth="1"/>
    <col min="74" max="74" width="8.6640625" bestFit="1" customWidth="1"/>
    <col min="75" max="75" width="11" bestFit="1" customWidth="1"/>
    <col min="76" max="76" width="9.6640625" bestFit="1" customWidth="1"/>
    <col min="77" max="77" width="12" bestFit="1" customWidth="1"/>
    <col min="78" max="78" width="10.6640625" bestFit="1" customWidth="1"/>
    <col min="79" max="79" width="13.109375" bestFit="1" customWidth="1"/>
    <col min="80" max="80" width="8.6640625" bestFit="1" customWidth="1"/>
    <col min="81" max="81" width="11" bestFit="1" customWidth="1"/>
    <col min="82" max="82" width="10.6640625" bestFit="1" customWidth="1"/>
    <col min="83" max="83" width="13.109375" bestFit="1" customWidth="1"/>
    <col min="84" max="84" width="9.6640625" bestFit="1" customWidth="1"/>
    <col min="85" max="85" width="12" bestFit="1" customWidth="1"/>
    <col min="86" max="86" width="10.6640625" bestFit="1" customWidth="1"/>
    <col min="87" max="87" width="13.109375" bestFit="1" customWidth="1"/>
    <col min="88" max="88" width="10.6640625" bestFit="1" customWidth="1"/>
    <col min="89" max="89" width="13.109375" bestFit="1" customWidth="1"/>
    <col min="90" max="90" width="10.6640625" bestFit="1" customWidth="1"/>
    <col min="91" max="91" width="13.109375" bestFit="1" customWidth="1"/>
    <col min="92" max="92" width="9.6640625" bestFit="1" customWidth="1"/>
    <col min="93" max="93" width="12" bestFit="1" customWidth="1"/>
    <col min="94" max="94" width="10.6640625" bestFit="1" customWidth="1"/>
    <col min="95" max="95" width="13.109375" bestFit="1" customWidth="1"/>
    <col min="96" max="96" width="10.6640625" bestFit="1" customWidth="1"/>
    <col min="97" max="97" width="13.109375" bestFit="1" customWidth="1"/>
    <col min="98" max="98" width="9.6640625" bestFit="1" customWidth="1"/>
    <col min="99" max="99" width="12" bestFit="1" customWidth="1"/>
    <col min="100" max="100" width="8.6640625" bestFit="1" customWidth="1"/>
    <col min="101" max="101" width="11" bestFit="1" customWidth="1"/>
    <col min="102" max="102" width="10.6640625" bestFit="1" customWidth="1"/>
    <col min="103" max="103" width="13.109375" bestFit="1" customWidth="1"/>
    <col min="104" max="104" width="10.6640625" bestFit="1" customWidth="1"/>
    <col min="105" max="105" width="13.109375" bestFit="1" customWidth="1"/>
    <col min="106" max="106" width="10.6640625" bestFit="1" customWidth="1"/>
    <col min="107" max="107" width="13.109375" bestFit="1" customWidth="1"/>
    <col min="108" max="108" width="9.6640625" bestFit="1" customWidth="1"/>
    <col min="109" max="109" width="12" bestFit="1" customWidth="1"/>
    <col min="110" max="110" width="11.6640625" bestFit="1" customWidth="1"/>
    <col min="111" max="111" width="14.109375" bestFit="1" customWidth="1"/>
    <col min="112" max="112" width="10.6640625" bestFit="1" customWidth="1"/>
    <col min="113" max="113" width="13.109375" bestFit="1" customWidth="1"/>
    <col min="114" max="114" width="10.6640625" bestFit="1" customWidth="1"/>
    <col min="115" max="115" width="13.109375" bestFit="1" customWidth="1"/>
    <col min="116" max="116" width="11.6640625" bestFit="1" customWidth="1"/>
    <col min="117" max="117" width="14.109375" bestFit="1" customWidth="1"/>
    <col min="118" max="118" width="11" bestFit="1" customWidth="1"/>
    <col min="119" max="119" width="8.6640625" bestFit="1" customWidth="1"/>
    <col min="120" max="120" width="11" bestFit="1" customWidth="1"/>
    <col min="121" max="121" width="10" bestFit="1" customWidth="1"/>
    <col min="122" max="122" width="10.6640625" bestFit="1" customWidth="1"/>
    <col min="123" max="123" width="13.109375" bestFit="1" customWidth="1"/>
    <col min="124" max="124" width="12" bestFit="1" customWidth="1"/>
    <col min="125" max="125" width="9.6640625" bestFit="1" customWidth="1"/>
    <col min="126" max="126" width="12" bestFit="1" customWidth="1"/>
    <col min="127" max="127" width="11" bestFit="1" customWidth="1"/>
    <col min="128" max="128" width="10.6640625" bestFit="1" customWidth="1"/>
    <col min="129" max="129" width="13.109375" bestFit="1" customWidth="1"/>
    <col min="130" max="130" width="12" bestFit="1" customWidth="1"/>
    <col min="131" max="131" width="10.6640625" bestFit="1" customWidth="1"/>
    <col min="132" max="132" width="13.109375" bestFit="1" customWidth="1"/>
    <col min="133" max="133" width="12" bestFit="1" customWidth="1"/>
    <col min="134" max="134" width="10.6640625" bestFit="1" customWidth="1"/>
    <col min="135" max="135" width="13.109375" bestFit="1" customWidth="1"/>
    <col min="136" max="136" width="12" bestFit="1" customWidth="1"/>
    <col min="137" max="137" width="9.6640625" bestFit="1" customWidth="1"/>
    <col min="138" max="138" width="12" bestFit="1" customWidth="1"/>
    <col min="139" max="139" width="11" bestFit="1" customWidth="1"/>
    <col min="140" max="140" width="10.6640625" bestFit="1" customWidth="1"/>
    <col min="141" max="142" width="13.109375" bestFit="1" customWidth="1"/>
    <col min="143" max="143" width="10.6640625" bestFit="1" customWidth="1"/>
    <col min="144" max="145" width="13.109375" bestFit="1" customWidth="1"/>
    <col min="146" max="146" width="9.6640625" bestFit="1" customWidth="1"/>
    <col min="147" max="148" width="12" bestFit="1" customWidth="1"/>
    <col min="149" max="149" width="8.6640625" bestFit="1" customWidth="1"/>
    <col min="150" max="151" width="11" bestFit="1" customWidth="1"/>
    <col min="152" max="152" width="10.6640625" bestFit="1" customWidth="1"/>
    <col min="153" max="154" width="13.109375" bestFit="1" customWidth="1"/>
    <col min="155" max="155" width="10.6640625" bestFit="1" customWidth="1"/>
    <col min="156" max="157" width="13.109375" bestFit="1" customWidth="1"/>
    <col min="158" max="158" width="10.6640625" bestFit="1" customWidth="1"/>
    <col min="159" max="160" width="13.109375" bestFit="1" customWidth="1"/>
    <col min="161" max="161" width="9.6640625" bestFit="1" customWidth="1"/>
    <col min="162" max="163" width="12" bestFit="1" customWidth="1"/>
    <col min="164" max="164" width="11.6640625" bestFit="1" customWidth="1"/>
    <col min="165" max="165" width="14.109375" bestFit="1" customWidth="1"/>
    <col min="166" max="166" width="13.109375" bestFit="1" customWidth="1"/>
    <col min="167" max="167" width="10.6640625" bestFit="1" customWidth="1"/>
    <col min="168" max="168" width="13.109375" bestFit="1" customWidth="1"/>
    <col min="169" max="169" width="12" bestFit="1" customWidth="1"/>
    <col min="170" max="170" width="10.6640625" bestFit="1" customWidth="1"/>
    <col min="171" max="172" width="13.109375" bestFit="1" customWidth="1"/>
    <col min="173" max="173" width="11.6640625" bestFit="1" customWidth="1"/>
    <col min="174" max="175" width="14.109375" bestFit="1" customWidth="1"/>
    <col min="176" max="176" width="10.5546875" bestFit="1" customWidth="1"/>
  </cols>
  <sheetData>
    <row r="3" spans="1:9" x14ac:dyDescent="0.3">
      <c r="A3" s="8" t="s">
        <v>118</v>
      </c>
      <c r="B3" t="s">
        <v>123</v>
      </c>
      <c r="C3" t="s">
        <v>124</v>
      </c>
      <c r="D3" t="s">
        <v>125</v>
      </c>
      <c r="F3" s="8" t="s">
        <v>118</v>
      </c>
      <c r="G3" t="s">
        <v>123</v>
      </c>
      <c r="H3" t="s">
        <v>124</v>
      </c>
      <c r="I3" t="s">
        <v>125</v>
      </c>
    </row>
    <row r="4" spans="1:9" x14ac:dyDescent="0.3">
      <c r="A4" s="9" t="s">
        <v>21</v>
      </c>
      <c r="B4" s="28">
        <v>138997.06299999997</v>
      </c>
      <c r="C4" s="28">
        <v>41699.118899999994</v>
      </c>
      <c r="D4" s="28">
        <v>135</v>
      </c>
      <c r="F4" s="9" t="s">
        <v>14</v>
      </c>
      <c r="G4" s="28">
        <v>14343.812</v>
      </c>
      <c r="H4" s="28">
        <v>4303.1436000000003</v>
      </c>
      <c r="I4" s="28">
        <v>10</v>
      </c>
    </row>
    <row r="5" spans="1:9" x14ac:dyDescent="0.3">
      <c r="A5" s="9" t="s">
        <v>15</v>
      </c>
      <c r="B5" s="28">
        <v>28641.494999999999</v>
      </c>
      <c r="C5" s="28">
        <v>8592.4484999999986</v>
      </c>
      <c r="D5" s="28">
        <v>56</v>
      </c>
      <c r="F5" s="9" t="s">
        <v>25</v>
      </c>
      <c r="G5" s="28">
        <v>422.51</v>
      </c>
      <c r="H5" s="28">
        <v>126.75300000000001</v>
      </c>
      <c r="I5" s="28">
        <v>7</v>
      </c>
    </row>
    <row r="6" spans="1:9" x14ac:dyDescent="0.3">
      <c r="A6" s="9" t="s">
        <v>32</v>
      </c>
      <c r="B6" s="28">
        <v>9133.148000000001</v>
      </c>
      <c r="C6" s="28">
        <v>2739.9443999999999</v>
      </c>
      <c r="D6" s="28">
        <v>30</v>
      </c>
      <c r="F6" s="9" t="s">
        <v>30</v>
      </c>
      <c r="G6" s="28">
        <v>6402.4500000000007</v>
      </c>
      <c r="H6" s="28">
        <v>1920.7349999999999</v>
      </c>
      <c r="I6" s="28">
        <v>24</v>
      </c>
    </row>
    <row r="7" spans="1:9" x14ac:dyDescent="0.3">
      <c r="A7" s="9" t="s">
        <v>119</v>
      </c>
      <c r="B7" s="28">
        <v>176771.70599999995</v>
      </c>
      <c r="C7" s="28">
        <v>53031.511799999993</v>
      </c>
      <c r="D7" s="28">
        <v>221</v>
      </c>
      <c r="F7" s="9" t="s">
        <v>41</v>
      </c>
      <c r="G7" s="28">
        <v>943.05599999999993</v>
      </c>
      <c r="H7" s="28">
        <v>282.91679999999997</v>
      </c>
      <c r="I7" s="28">
        <v>3</v>
      </c>
    </row>
    <row r="8" spans="1:9" x14ac:dyDescent="0.3">
      <c r="F8" s="9" t="s">
        <v>43</v>
      </c>
      <c r="G8" s="28">
        <v>962.976</v>
      </c>
      <c r="H8" s="28">
        <v>288.89279999999997</v>
      </c>
      <c r="I8" s="28">
        <v>4</v>
      </c>
    </row>
    <row r="9" spans="1:9" x14ac:dyDescent="0.3">
      <c r="F9" s="9" t="s">
        <v>46</v>
      </c>
      <c r="G9" s="28">
        <v>472.77500000000003</v>
      </c>
      <c r="H9" s="28">
        <v>141.83249999999998</v>
      </c>
      <c r="I9" s="28">
        <v>19</v>
      </c>
    </row>
    <row r="10" spans="1:9" x14ac:dyDescent="0.3">
      <c r="F10" s="9" t="s">
        <v>51</v>
      </c>
      <c r="G10" s="28">
        <v>1486.886</v>
      </c>
      <c r="H10" s="28">
        <v>446.06580000000008</v>
      </c>
      <c r="I10" s="28">
        <v>13</v>
      </c>
    </row>
    <row r="11" spans="1:9" x14ac:dyDescent="0.3">
      <c r="F11" s="9" t="s">
        <v>56</v>
      </c>
      <c r="G11" s="28">
        <v>443.96</v>
      </c>
      <c r="H11" s="28">
        <v>133.18799999999999</v>
      </c>
      <c r="I11" s="28">
        <v>2</v>
      </c>
    </row>
    <row r="12" spans="1:9" x14ac:dyDescent="0.3">
      <c r="A12" s="8" t="s">
        <v>118</v>
      </c>
      <c r="B12" t="s">
        <v>124</v>
      </c>
      <c r="C12" t="s">
        <v>123</v>
      </c>
      <c r="D12" t="s">
        <v>125</v>
      </c>
      <c r="F12" s="9" t="s">
        <v>58</v>
      </c>
      <c r="G12" s="28">
        <v>6.016</v>
      </c>
      <c r="H12" s="28">
        <v>1.8048000000000002</v>
      </c>
      <c r="I12" s="28">
        <v>2</v>
      </c>
    </row>
    <row r="13" spans="1:9" x14ac:dyDescent="0.3">
      <c r="A13" s="9" t="s">
        <v>13</v>
      </c>
      <c r="B13" s="28">
        <v>41785.4139</v>
      </c>
      <c r="C13" s="28">
        <v>139284.71299999999</v>
      </c>
      <c r="D13" s="28">
        <v>72</v>
      </c>
      <c r="F13" s="9" t="s">
        <v>60</v>
      </c>
      <c r="G13" s="28">
        <v>1391.4</v>
      </c>
      <c r="H13" s="28">
        <v>417.42000000000007</v>
      </c>
      <c r="I13" s="28">
        <v>2</v>
      </c>
    </row>
    <row r="14" spans="1:9" x14ac:dyDescent="0.3">
      <c r="A14" s="9" t="s">
        <v>24</v>
      </c>
      <c r="B14" s="28">
        <v>5873.4975000000013</v>
      </c>
      <c r="C14" s="28">
        <v>19578.325000000001</v>
      </c>
      <c r="D14" s="28">
        <v>105</v>
      </c>
      <c r="F14" s="9" t="s">
        <v>62</v>
      </c>
      <c r="G14" s="28">
        <v>5211.576</v>
      </c>
      <c r="H14" s="28">
        <v>1563.4728</v>
      </c>
      <c r="I14" s="28">
        <v>35</v>
      </c>
    </row>
    <row r="15" spans="1:9" x14ac:dyDescent="0.3">
      <c r="A15" s="9" t="s">
        <v>19</v>
      </c>
      <c r="B15" s="28">
        <v>5372.6004000000003</v>
      </c>
      <c r="C15" s="28">
        <v>17908.667999999998</v>
      </c>
      <c r="D15" s="28">
        <v>44</v>
      </c>
      <c r="F15" s="9" t="s">
        <v>71</v>
      </c>
      <c r="G15" s="28">
        <v>83.789999999999992</v>
      </c>
      <c r="H15" s="28">
        <v>25.136999999999993</v>
      </c>
      <c r="I15" s="28">
        <v>3</v>
      </c>
    </row>
    <row r="16" spans="1:9" x14ac:dyDescent="0.3">
      <c r="A16" s="9" t="s">
        <v>119</v>
      </c>
      <c r="B16" s="28">
        <v>53031.5118</v>
      </c>
      <c r="C16" s="28">
        <v>176771.70600000001</v>
      </c>
      <c r="D16" s="28">
        <v>221</v>
      </c>
      <c r="F16" s="9" t="s">
        <v>73</v>
      </c>
      <c r="G16" s="28">
        <v>982.25</v>
      </c>
      <c r="H16" s="28">
        <v>294.67500000000001</v>
      </c>
      <c r="I16" s="28">
        <v>5</v>
      </c>
    </row>
    <row r="17" spans="6:9" x14ac:dyDescent="0.3">
      <c r="F17" s="9" t="s">
        <v>75</v>
      </c>
      <c r="G17" s="28">
        <v>616.8599999999999</v>
      </c>
      <c r="H17" s="28">
        <v>185.05799999999994</v>
      </c>
      <c r="I17" s="28">
        <v>9</v>
      </c>
    </row>
    <row r="18" spans="6:9" x14ac:dyDescent="0.3">
      <c r="F18" s="9" t="s">
        <v>78</v>
      </c>
      <c r="G18" s="28">
        <v>605.15</v>
      </c>
      <c r="H18" s="28">
        <v>181.54500000000002</v>
      </c>
      <c r="I18" s="28">
        <v>7</v>
      </c>
    </row>
    <row r="19" spans="6:9" x14ac:dyDescent="0.3">
      <c r="F19" s="9" t="s">
        <v>80</v>
      </c>
      <c r="G19" s="28">
        <v>128605.62</v>
      </c>
      <c r="H19" s="28">
        <v>38581.686000000002</v>
      </c>
      <c r="I19" s="28">
        <v>13</v>
      </c>
    </row>
    <row r="20" spans="6:9" x14ac:dyDescent="0.3">
      <c r="F20" s="9" t="s">
        <v>82</v>
      </c>
      <c r="G20" s="28">
        <v>5240.0699999999988</v>
      </c>
      <c r="H20" s="28">
        <v>1572.0209999999997</v>
      </c>
      <c r="I20" s="28">
        <v>9</v>
      </c>
    </row>
    <row r="21" spans="6:9" x14ac:dyDescent="0.3">
      <c r="F21" s="9" t="s">
        <v>85</v>
      </c>
      <c r="G21" s="28">
        <v>8.1</v>
      </c>
      <c r="H21" s="28">
        <v>2.4300000000000002</v>
      </c>
      <c r="I21" s="28">
        <v>2</v>
      </c>
    </row>
    <row r="22" spans="6:9" x14ac:dyDescent="0.3">
      <c r="F22" s="9" t="s">
        <v>88</v>
      </c>
      <c r="G22" s="28">
        <v>482.28800000000001</v>
      </c>
      <c r="H22" s="28">
        <v>144.68639999999999</v>
      </c>
      <c r="I22" s="28">
        <v>12</v>
      </c>
    </row>
    <row r="23" spans="6:9" x14ac:dyDescent="0.3">
      <c r="F23" s="9" t="s">
        <v>92</v>
      </c>
      <c r="G23" s="28">
        <v>38.519999999999996</v>
      </c>
      <c r="H23" s="28">
        <v>11.556000000000001</v>
      </c>
      <c r="I23" s="28">
        <v>3</v>
      </c>
    </row>
    <row r="24" spans="6:9" x14ac:dyDescent="0.3">
      <c r="F24" s="9" t="s">
        <v>94</v>
      </c>
      <c r="G24" s="28">
        <v>5780.3539999999994</v>
      </c>
      <c r="H24" s="28">
        <v>1734.1061999999997</v>
      </c>
      <c r="I24" s="28">
        <v>28</v>
      </c>
    </row>
    <row r="25" spans="6:9" x14ac:dyDescent="0.3">
      <c r="F25" s="9" t="s">
        <v>106</v>
      </c>
      <c r="G25" s="28">
        <v>2241.2870000000003</v>
      </c>
      <c r="H25" s="28">
        <v>672.38610000000006</v>
      </c>
      <c r="I25" s="28">
        <v>9</v>
      </c>
    </row>
    <row r="26" spans="6:9" x14ac:dyDescent="0.3">
      <c r="F26" s="9" t="s">
        <v>119</v>
      </c>
      <c r="G26" s="28">
        <v>176771.70600000001</v>
      </c>
      <c r="H26" s="28">
        <v>53031.5118</v>
      </c>
      <c r="I26" s="28">
        <v>221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7CD6-97F6-4B79-B605-CF401D7C231C}">
  <dimension ref="C2:O7"/>
  <sheetViews>
    <sheetView showGridLines="0" workbookViewId="0">
      <selection activeCell="J26" sqref="J26"/>
    </sheetView>
  </sheetViews>
  <sheetFormatPr defaultRowHeight="14.4" x14ac:dyDescent="0.3"/>
  <cols>
    <col min="3" max="3" width="18.109375" bestFit="1" customWidth="1"/>
    <col min="4" max="4" width="5.109375" customWidth="1"/>
    <col min="5" max="5" width="18.109375" bestFit="1" customWidth="1"/>
    <col min="6" max="6" width="5.88671875" customWidth="1"/>
    <col min="7" max="7" width="10.77734375" bestFit="1" customWidth="1"/>
    <col min="8" max="8" width="6.21875" customWidth="1"/>
    <col min="9" max="9" width="11.88671875" bestFit="1" customWidth="1"/>
    <col min="11" max="11" width="9.5546875" bestFit="1" customWidth="1"/>
  </cols>
  <sheetData>
    <row r="2" spans="3:15" x14ac:dyDescent="0.3">
      <c r="I2" s="29" t="s">
        <v>123</v>
      </c>
      <c r="J2" s="6"/>
      <c r="K2" s="29" t="s">
        <v>126</v>
      </c>
      <c r="L2" s="6"/>
      <c r="M2" s="29" t="s">
        <v>127</v>
      </c>
      <c r="N2" s="6"/>
      <c r="O2" s="29" t="s">
        <v>125</v>
      </c>
    </row>
    <row r="3" spans="3:15" ht="23.4" x14ac:dyDescent="0.45">
      <c r="I3" s="30">
        <f>SUM(SalesData[Sales])</f>
        <v>176771.70599999998</v>
      </c>
      <c r="J3" s="6"/>
      <c r="K3" s="30">
        <f>SUM(SalesData[Profit])</f>
        <v>53031.511800000007</v>
      </c>
      <c r="L3" s="6"/>
      <c r="M3" s="31">
        <f>COUNTA(SalesData[Order ID])</f>
        <v>59</v>
      </c>
      <c r="N3" s="6"/>
      <c r="O3" s="31">
        <f>SUM(SalesData[Quantity])</f>
        <v>221</v>
      </c>
    </row>
    <row r="7" spans="3:15" x14ac:dyDescent="0.3">
      <c r="C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614fd6fd-c2d2-48ce-a4de-826a3df3837a}" enabled="1" method="Standard" siteId="{3a96d43a-80df-4e46-b5ab-8028eea2fb0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FILTER</vt:lpstr>
      <vt:lpstr>LOOKUP</vt:lpstr>
      <vt:lpstr>Raw_data</vt:lpstr>
      <vt:lpstr>Formulas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Balaji</dc:creator>
  <cp:lastModifiedBy>Vishal kabilan</cp:lastModifiedBy>
  <dcterms:created xsi:type="dcterms:W3CDTF">2025-06-20T03:32:31Z</dcterms:created>
  <dcterms:modified xsi:type="dcterms:W3CDTF">2026-03-30T18:50:46Z</dcterms:modified>
</cp:coreProperties>
</file>